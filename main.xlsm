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  <sheet name="Лист2" sheetId="2" r:id="rId2"/>
    <sheet name="Лист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76" i="3" l="1"/>
  <c r="H76" i="3"/>
  <c r="I75" i="3"/>
  <c r="H75" i="3"/>
  <c r="I74" i="3"/>
  <c r="H74" i="3"/>
  <c r="I73" i="3"/>
  <c r="H73" i="3"/>
  <c r="I72" i="3"/>
  <c r="H72" i="3"/>
  <c r="I71" i="3"/>
  <c r="H71" i="3"/>
  <c r="I70" i="3"/>
  <c r="H70" i="3"/>
  <c r="I69" i="3"/>
  <c r="H69" i="3"/>
  <c r="O65" i="3"/>
  <c r="L65" i="3"/>
  <c r="T65" i="3" s="1"/>
  <c r="G65" i="3"/>
  <c r="I65" i="3" s="1"/>
  <c r="F65" i="3"/>
  <c r="E65" i="3"/>
  <c r="O62" i="3"/>
  <c r="T62" i="3" s="1"/>
  <c r="L62" i="3"/>
  <c r="G62" i="3"/>
  <c r="I62" i="3" s="1"/>
  <c r="F62" i="3"/>
  <c r="E62" i="3"/>
  <c r="D62" i="3"/>
  <c r="G59" i="3"/>
  <c r="O54" i="3"/>
  <c r="T54" i="3" s="1"/>
  <c r="L54" i="3"/>
  <c r="G54" i="3"/>
  <c r="I54" i="3" s="1"/>
  <c r="E54" i="3"/>
  <c r="T53" i="3"/>
  <c r="I53" i="3"/>
  <c r="T52" i="3"/>
  <c r="I52" i="3"/>
  <c r="O51" i="3"/>
  <c r="T51" i="3" s="1"/>
  <c r="L51" i="3"/>
  <c r="G51" i="3"/>
  <c r="I51" i="3" s="1"/>
  <c r="E51" i="3"/>
  <c r="S50" i="3"/>
  <c r="T49" i="3"/>
  <c r="S49" i="3"/>
  <c r="I49" i="3"/>
  <c r="T48" i="3"/>
  <c r="I48" i="3"/>
  <c r="O47" i="3"/>
  <c r="L47" i="3"/>
  <c r="T47" i="3" s="1"/>
  <c r="G47" i="3"/>
  <c r="I47" i="3" s="1"/>
  <c r="E47" i="3"/>
  <c r="T46" i="3"/>
  <c r="I46" i="3"/>
  <c r="T45" i="3"/>
  <c r="I45" i="3"/>
  <c r="O44" i="3"/>
  <c r="T44" i="3" s="1"/>
  <c r="N44" i="3"/>
  <c r="S44" i="3" s="1"/>
  <c r="L44" i="3"/>
  <c r="K44" i="3"/>
  <c r="G44" i="3"/>
  <c r="E44" i="3"/>
  <c r="I44" i="3" s="1"/>
  <c r="T43" i="3"/>
  <c r="S43" i="3"/>
  <c r="I43" i="3"/>
  <c r="T42" i="3"/>
  <c r="S42" i="3"/>
  <c r="I42" i="3"/>
  <c r="O40" i="3"/>
  <c r="N40" i="3"/>
  <c r="S40" i="3" s="1"/>
  <c r="M40" i="3"/>
  <c r="L40" i="3"/>
  <c r="T40" i="3" s="1"/>
  <c r="K40" i="3"/>
  <c r="J40" i="3"/>
  <c r="R40" i="3" s="1"/>
  <c r="G40" i="3"/>
  <c r="I40" i="3" s="1"/>
  <c r="F40" i="3"/>
  <c r="H40" i="3" s="1"/>
  <c r="E40" i="3"/>
  <c r="D40" i="3"/>
  <c r="O38" i="3"/>
  <c r="N38" i="3"/>
  <c r="S38" i="3" s="1"/>
  <c r="M38" i="3"/>
  <c r="L38" i="3"/>
  <c r="T38" i="3" s="1"/>
  <c r="K38" i="3"/>
  <c r="J38" i="3"/>
  <c r="R38" i="3" s="1"/>
  <c r="G38" i="3"/>
  <c r="I38" i="3" s="1"/>
  <c r="F38" i="3"/>
  <c r="H38" i="3" s="1"/>
  <c r="E38" i="3"/>
  <c r="D38" i="3"/>
  <c r="T37" i="3"/>
  <c r="S37" i="3"/>
  <c r="R37" i="3"/>
  <c r="I37" i="3"/>
  <c r="H37" i="3"/>
  <c r="T36" i="3"/>
  <c r="S36" i="3"/>
  <c r="R36" i="3"/>
  <c r="I36" i="3"/>
  <c r="H36" i="3"/>
  <c r="T34" i="3"/>
  <c r="S34" i="3"/>
  <c r="R34" i="3"/>
  <c r="I34" i="3"/>
  <c r="H34" i="3"/>
  <c r="T32" i="3"/>
  <c r="S32" i="3"/>
  <c r="R32" i="3"/>
  <c r="I32" i="3"/>
  <c r="H32" i="3"/>
  <c r="T31" i="3"/>
  <c r="S31" i="3"/>
  <c r="R31" i="3"/>
  <c r="I31" i="3"/>
  <c r="H31" i="3"/>
  <c r="T30" i="3"/>
  <c r="S30" i="3"/>
  <c r="R30" i="3"/>
  <c r="I30" i="3"/>
  <c r="H30" i="3"/>
  <c r="T29" i="3"/>
  <c r="S29" i="3"/>
  <c r="R29" i="3"/>
  <c r="I29" i="3"/>
  <c r="H29" i="3"/>
  <c r="T28" i="3"/>
  <c r="S28" i="3"/>
  <c r="R28" i="3"/>
  <c r="I28" i="3"/>
  <c r="H28" i="3"/>
  <c r="T27" i="3"/>
  <c r="S27" i="3"/>
  <c r="R27" i="3"/>
  <c r="I27" i="3"/>
  <c r="H27" i="3"/>
  <c r="O26" i="3"/>
  <c r="N26" i="3"/>
  <c r="S26" i="3" s="1"/>
  <c r="M26" i="3"/>
  <c r="L26" i="3"/>
  <c r="T26" i="3" s="1"/>
  <c r="K26" i="3"/>
  <c r="J26" i="3"/>
  <c r="R26" i="3" s="1"/>
  <c r="G26" i="3"/>
  <c r="I26" i="3" s="1"/>
  <c r="F26" i="3"/>
  <c r="H26" i="3" s="1"/>
  <c r="E26" i="3"/>
  <c r="D26" i="3"/>
  <c r="T25" i="3"/>
  <c r="S25" i="3"/>
  <c r="R25" i="3"/>
  <c r="I25" i="3"/>
  <c r="H25" i="3"/>
  <c r="T24" i="3"/>
  <c r="S24" i="3"/>
  <c r="R24" i="3"/>
  <c r="I24" i="3"/>
  <c r="H24" i="3"/>
  <c r="T23" i="3"/>
  <c r="S23" i="3"/>
  <c r="R23" i="3"/>
  <c r="I23" i="3"/>
  <c r="H23" i="3"/>
  <c r="T22" i="3"/>
  <c r="S22" i="3"/>
  <c r="R22" i="3"/>
  <c r="I22" i="3"/>
  <c r="H22" i="3"/>
  <c r="T21" i="3"/>
  <c r="S21" i="3"/>
  <c r="R21" i="3"/>
  <c r="I21" i="3"/>
  <c r="H21" i="3"/>
  <c r="T20" i="3"/>
  <c r="S20" i="3"/>
  <c r="R20" i="3"/>
  <c r="I20" i="3"/>
  <c r="H20" i="3"/>
  <c r="T19" i="3"/>
  <c r="S19" i="3"/>
  <c r="R19" i="3"/>
  <c r="I19" i="3"/>
  <c r="H19" i="3"/>
  <c r="O18" i="3"/>
  <c r="N18" i="3"/>
  <c r="S18" i="3" s="1"/>
  <c r="M18" i="3"/>
  <c r="L18" i="3"/>
  <c r="T18" i="3" s="1"/>
  <c r="K18" i="3"/>
  <c r="J18" i="3"/>
  <c r="R18" i="3" s="1"/>
  <c r="G18" i="3"/>
  <c r="I18" i="3" s="1"/>
  <c r="F18" i="3"/>
  <c r="H18" i="3" s="1"/>
  <c r="E18" i="3"/>
  <c r="D18" i="3"/>
  <c r="O17" i="3"/>
  <c r="T17" i="3" s="1"/>
  <c r="N17" i="3"/>
  <c r="N39" i="3" s="1"/>
  <c r="M17" i="3"/>
  <c r="R17" i="3" s="1"/>
  <c r="L17" i="3"/>
  <c r="L39" i="3" s="1"/>
  <c r="L41" i="3" s="1"/>
  <c r="J56" i="3" s="1"/>
  <c r="K17" i="3"/>
  <c r="K39" i="3" s="1"/>
  <c r="K41" i="3" s="1"/>
  <c r="D56" i="3" s="1"/>
  <c r="J17" i="3"/>
  <c r="J39" i="3" s="1"/>
  <c r="J41" i="3" s="1"/>
  <c r="G17" i="3"/>
  <c r="G39" i="3" s="1"/>
  <c r="F17" i="3"/>
  <c r="F39" i="3" s="1"/>
  <c r="E17" i="3"/>
  <c r="E39" i="3" s="1"/>
  <c r="E41" i="3" s="1"/>
  <c r="D17" i="3"/>
  <c r="D39" i="3" s="1"/>
  <c r="D41" i="3" s="1"/>
  <c r="T16" i="3"/>
  <c r="S16" i="3"/>
  <c r="R16" i="3"/>
  <c r="I16" i="3"/>
  <c r="H16" i="3"/>
  <c r="T15" i="3"/>
  <c r="S15" i="3"/>
  <c r="R15" i="3"/>
  <c r="I15" i="3"/>
  <c r="H15" i="3"/>
  <c r="T14" i="3"/>
  <c r="I14" i="3"/>
  <c r="F10" i="3"/>
  <c r="D9" i="3"/>
  <c r="C9" i="3"/>
  <c r="D8" i="3"/>
  <c r="L59" i="3" l="1"/>
  <c r="R57" i="3"/>
  <c r="N41" i="3"/>
  <c r="S39" i="3"/>
  <c r="F41" i="3"/>
  <c r="H41" i="3" s="1"/>
  <c r="H39" i="3"/>
  <c r="G41" i="3"/>
  <c r="I41" i="3" s="1"/>
  <c r="I39" i="3"/>
  <c r="E59" i="3"/>
  <c r="I57" i="3"/>
  <c r="I17" i="3"/>
  <c r="S17" i="3"/>
  <c r="E33" i="3"/>
  <c r="E35" i="3" s="1"/>
  <c r="G33" i="3"/>
  <c r="K33" i="3"/>
  <c r="K35" i="3" s="1"/>
  <c r="M33" i="3"/>
  <c r="O33" i="3"/>
  <c r="M39" i="3"/>
  <c r="O39" i="3"/>
  <c r="H17" i="3"/>
  <c r="D33" i="3"/>
  <c r="D35" i="3" s="1"/>
  <c r="F33" i="3"/>
  <c r="J33" i="3"/>
  <c r="J35" i="3" s="1"/>
  <c r="L33" i="3"/>
  <c r="L35" i="3" s="1"/>
  <c r="N33" i="3"/>
  <c r="F35" i="3" l="1"/>
  <c r="H35" i="3" s="1"/>
  <c r="H33" i="3"/>
  <c r="R39" i="3"/>
  <c r="M41" i="3"/>
  <c r="R41" i="3" s="1"/>
  <c r="R33" i="3"/>
  <c r="M35" i="3"/>
  <c r="R35" i="3" s="1"/>
  <c r="G35" i="3"/>
  <c r="I35" i="3" s="1"/>
  <c r="I33" i="3"/>
  <c r="N35" i="3"/>
  <c r="S35" i="3" s="1"/>
  <c r="S33" i="3"/>
  <c r="T39" i="3"/>
  <c r="O41" i="3"/>
  <c r="T33" i="3"/>
  <c r="O35" i="3"/>
  <c r="T35" i="3" s="1"/>
  <c r="F56" i="3"/>
  <c r="S41" i="3"/>
  <c r="M56" i="3" l="1"/>
  <c r="T41" i="3"/>
  <c r="F58" i="3"/>
  <c r="I56" i="3"/>
  <c r="C6" i="3"/>
  <c r="C8" i="3" s="1"/>
  <c r="O59" i="3" l="1"/>
  <c r="M58" i="3"/>
  <c r="R56" i="3"/>
  <c r="H4" i="2" l="1"/>
  <c r="G4" i="2"/>
  <c r="I4" i="2" s="1"/>
  <c r="D4" i="2"/>
  <c r="B4" i="2"/>
  <c r="Y4" i="2"/>
  <c r="V4" i="2"/>
  <c r="S4" i="2"/>
  <c r="P4" i="2"/>
  <c r="W4" i="2" l="1"/>
  <c r="X4" i="2" s="1"/>
  <c r="Z4" i="2"/>
  <c r="AA4" i="2" s="1"/>
  <c r="J4" i="2"/>
  <c r="Q4" i="2"/>
  <c r="R4" i="2" s="1"/>
  <c r="T4" i="2"/>
  <c r="U4" i="2" s="1"/>
  <c r="N4" i="2"/>
  <c r="E4" i="2"/>
  <c r="K4" i="2" l="1"/>
  <c r="L4" i="2" s="1"/>
  <c r="M4" i="2"/>
  <c r="O4" i="2" s="1"/>
  <c r="C4" i="2" l="1"/>
  <c r="F4" i="2" s="1"/>
</calcChain>
</file>

<file path=xl/sharedStrings.xml><?xml version="1.0" encoding="utf-8"?>
<sst xmlns="http://schemas.openxmlformats.org/spreadsheetml/2006/main" count="171" uniqueCount="123">
  <si>
    <t>Объединения</t>
  </si>
  <si>
    <t>Добыча</t>
  </si>
  <si>
    <t xml:space="preserve">Входная добыча </t>
  </si>
  <si>
    <t xml:space="preserve">Баланс общ </t>
  </si>
  <si>
    <t>Баланс ГТМ</t>
  </si>
  <si>
    <t>Баланс База</t>
  </si>
  <si>
    <t>Снижения</t>
  </si>
  <si>
    <t>Баланс ВСП</t>
  </si>
  <si>
    <t>Баланс ВНР</t>
  </si>
  <si>
    <t>сетевой</t>
  </si>
  <si>
    <t>расчет</t>
  </si>
  <si>
    <t>факт</t>
  </si>
  <si>
    <t>+/- к сет.</t>
  </si>
  <si>
    <t>+/- к</t>
  </si>
  <si>
    <t>план</t>
  </si>
  <si>
    <t>откл</t>
  </si>
  <si>
    <t>график</t>
  </si>
  <si>
    <t>по ЕФ</t>
  </si>
  <si>
    <t>графику</t>
  </si>
  <si>
    <t>расчету</t>
  </si>
  <si>
    <t>Удмуртнефть</t>
  </si>
  <si>
    <t>Отклонения</t>
  </si>
  <si>
    <t>скв</t>
  </si>
  <si>
    <t>т/сут</t>
  </si>
  <si>
    <t>Ожидаемое</t>
  </si>
  <si>
    <t>тыс.т/мес</t>
  </si>
  <si>
    <t>Не запущено на дату (без б/н)</t>
  </si>
  <si>
    <t>Запуск ГТМ</t>
  </si>
  <si>
    <t>план мес.</t>
  </si>
  <si>
    <t>Входная добыча (факт)</t>
  </si>
  <si>
    <t>в т.ч. на ВНР</t>
  </si>
  <si>
    <t>прирост</t>
  </si>
  <si>
    <t>Входная добыча (план)</t>
  </si>
  <si>
    <t>в т.ч. в ТКРС</t>
  </si>
  <si>
    <t>ожид мес.</t>
  </si>
  <si>
    <t>Добыча по сетевому графику</t>
  </si>
  <si>
    <t>в т.ч. запущены пр прочим</t>
  </si>
  <si>
    <t>Расчетная добыча</t>
  </si>
  <si>
    <t>в т.ч. в ожидании</t>
  </si>
  <si>
    <t>Остановка ГТМ</t>
  </si>
  <si>
    <t>Фактическая добыча</t>
  </si>
  <si>
    <t>Не достижение дебита</t>
  </si>
  <si>
    <t>потери</t>
  </si>
  <si>
    <t>Отклонение от расчетной  добычи</t>
  </si>
  <si>
    <t>Безномерные</t>
  </si>
  <si>
    <t>Отклонение от сетевого графика</t>
  </si>
  <si>
    <t>Вне плана</t>
  </si>
  <si>
    <t xml:space="preserve">  Показатели</t>
  </si>
  <si>
    <t>сутки</t>
  </si>
  <si>
    <t>с начала месяца</t>
  </si>
  <si>
    <t>отклонение</t>
  </si>
  <si>
    <t>текущий ВНР</t>
  </si>
  <si>
    <t>скв, шт</t>
  </si>
  <si>
    <t>дебит, тн</t>
  </si>
  <si>
    <t>шт</t>
  </si>
  <si>
    <t>тн</t>
  </si>
  <si>
    <t>нараст,т</t>
  </si>
  <si>
    <t>нараст, т</t>
  </si>
  <si>
    <t xml:space="preserve"> Входная добыча, т/сут</t>
  </si>
  <si>
    <t xml:space="preserve">    Остановки под ГТМ</t>
  </si>
  <si>
    <t xml:space="preserve">    Перевод в ППД</t>
  </si>
  <si>
    <t xml:space="preserve">    Запуски из ГТМ</t>
  </si>
  <si>
    <t xml:space="preserve">     ГТМ на доп.добычу</t>
  </si>
  <si>
    <t xml:space="preserve">       Ввод новых скважин</t>
  </si>
  <si>
    <t xml:space="preserve">       Ввод прочих новых скважин</t>
  </si>
  <si>
    <t xml:space="preserve">       Реконструкция скважин</t>
  </si>
  <si>
    <t xml:space="preserve">       Углубления</t>
  </si>
  <si>
    <t xml:space="preserve">       Гидроразрыв пласта</t>
  </si>
  <si>
    <t xml:space="preserve">       Переходы и приобщения</t>
  </si>
  <si>
    <t xml:space="preserve">       Вывод из бездействия</t>
  </si>
  <si>
    <t xml:space="preserve">    ГТМ на поддержание базовой</t>
  </si>
  <si>
    <t xml:space="preserve">      Оптимизация режима работы скважин</t>
  </si>
  <si>
    <t xml:space="preserve">      Ремонтно - изоляционные работы</t>
  </si>
  <si>
    <t xml:space="preserve">      Ликвидация аварий</t>
  </si>
  <si>
    <t xml:space="preserve">      Планово - предупредительный ремонт</t>
  </si>
  <si>
    <t xml:space="preserve">      Обработка призабойной зоны</t>
  </si>
  <si>
    <t xml:space="preserve">      Прочие КРС (доп.перф., крепл ПЗП и др.)</t>
  </si>
  <si>
    <t xml:space="preserve">  Баланс запусков-остановок ГТМ</t>
  </si>
  <si>
    <t xml:space="preserve">   Увеличение частоты (справочно)</t>
  </si>
  <si>
    <t xml:space="preserve">  Баланс ГТМ ВСЕГО</t>
  </si>
  <si>
    <t xml:space="preserve">    Остановки Баз. Фонда</t>
  </si>
  <si>
    <t xml:space="preserve">    Запуски Баз. Фонда</t>
  </si>
  <si>
    <t xml:space="preserve">  Баланс запусков - остановок базового фонда</t>
  </si>
  <si>
    <t xml:space="preserve">    Всего запущено</t>
  </si>
  <si>
    <t xml:space="preserve">    Всего остановлено</t>
  </si>
  <si>
    <t xml:space="preserve">  Общий баланс запусков-остановок фонда</t>
  </si>
  <si>
    <t xml:space="preserve">    Изменение по жидкости</t>
  </si>
  <si>
    <t xml:space="preserve">    Изменение по воде</t>
  </si>
  <si>
    <t xml:space="preserve"> Изменение дебитов по фонду скважин ВСЕГО</t>
  </si>
  <si>
    <t xml:space="preserve">    ВСП входные</t>
  </si>
  <si>
    <t xml:space="preserve">    ВСП абсолютные</t>
  </si>
  <si>
    <t xml:space="preserve">  Баланс ВСП</t>
  </si>
  <si>
    <t xml:space="preserve">    ВНР входные</t>
  </si>
  <si>
    <t xml:space="preserve">    ВНР абсолютные  (скв/расч/факт/%)</t>
  </si>
  <si>
    <t xml:space="preserve">                   в т.ч. ГТМ (скв/расч/факт/%)</t>
  </si>
  <si>
    <t xml:space="preserve">  Баланс ВНР</t>
  </si>
  <si>
    <t xml:space="preserve">    Разрядки входные</t>
  </si>
  <si>
    <t xml:space="preserve">    Разрядки абсолютные</t>
  </si>
  <si>
    <t xml:space="preserve">  Баланс разрядок</t>
  </si>
  <si>
    <t xml:space="preserve">  Прочие показатели планирования</t>
  </si>
  <si>
    <t xml:space="preserve">  ИТОГО по региону</t>
  </si>
  <si>
    <t xml:space="preserve">  Фактическая добыча</t>
  </si>
  <si>
    <t xml:space="preserve">  Отклонение от расчетной добычи</t>
  </si>
  <si>
    <t>Отклонение от входной (расчет/факт)</t>
  </si>
  <si>
    <t xml:space="preserve">    Добыча по текущим отказам (отр.время) ВХОД</t>
  </si>
  <si>
    <t xml:space="preserve">    Добыча по текущим отказам (отр.время) ТЕК</t>
  </si>
  <si>
    <t xml:space="preserve">  Баланс добычи по тек.отказам</t>
  </si>
  <si>
    <t xml:space="preserve">    Отклонение добычи от режима в входной</t>
  </si>
  <si>
    <t xml:space="preserve">    Отклонение добычи от режима в текущей</t>
  </si>
  <si>
    <t xml:space="preserve">  Баланс отклонения добычи от режима по период. фонду</t>
  </si>
  <si>
    <t>показатели</t>
  </si>
  <si>
    <t>на 1 число</t>
  </si>
  <si>
    <t>на дату</t>
  </si>
  <si>
    <t>изм</t>
  </si>
  <si>
    <t>Всего ПФ</t>
  </si>
  <si>
    <t>Всего ПФ (база)</t>
  </si>
  <si>
    <t>Всего ПФ (ГТМ)</t>
  </si>
  <si>
    <t>В ремонте + в доп.мер</t>
  </si>
  <si>
    <t>ВНР всего</t>
  </si>
  <si>
    <t>Ожид ремонта ВСЕГО</t>
  </si>
  <si>
    <t>Ожид ремонта приорит.</t>
  </si>
  <si>
    <t>Количество бригад подземного ремонта (ТРС)</t>
  </si>
  <si>
    <t>Удмуртнефть  20.03.2017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</si>
</sst>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19]d\ mmm\ yy;@"/>
    <numFmt numFmtId="165" formatCode="0.0"/>
    <numFmt numFmtId="166" formatCode="#,##0.0"/>
    <numFmt numFmtId="167" formatCode="#,##0.000"/>
    <numFmt numFmtId="168" formatCode="#,##0_ ;[Red]\-#,##0\ "/>
    <numFmt numFmtId="169" formatCode="0_ ;[Red]\-0\ 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  <charset val="204"/>
    </font>
    <font>
      <b/>
      <sz val="8"/>
      <name val="Arial"/>
      <family val="2"/>
      <charset val="204"/>
    </font>
    <font>
      <sz val="11"/>
      <color indexed="8"/>
      <name val="Calibri"/>
      <family val="2"/>
      <charset val="204"/>
    </font>
    <font>
      <b/>
      <sz val="10"/>
      <name val="Arial"/>
      <family val="2"/>
      <charset val="204"/>
    </font>
    <font>
      <sz val="8"/>
      <color theme="1"/>
      <name val="Arial"/>
      <family val="2"/>
      <charset val="204"/>
    </font>
    <font>
      <b/>
      <sz val="8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sz val="8"/>
      <color indexed="9"/>
      <name val="Arial"/>
      <family val="2"/>
      <charset val="204"/>
    </font>
    <font>
      <b/>
      <sz val="8"/>
      <color indexed="12"/>
      <name val="Arial"/>
      <family val="2"/>
      <charset val="204"/>
    </font>
    <font>
      <b/>
      <sz val="8"/>
      <color indexed="18"/>
      <name val="Arial"/>
      <family val="2"/>
      <charset val="204"/>
    </font>
    <font>
      <b/>
      <sz val="12"/>
      <name val="Arial Cyr"/>
    </font>
    <font>
      <b/>
      <sz val="14"/>
      <name val="Arial"/>
      <family val="2"/>
      <charset val="204"/>
    </font>
    <font>
      <sz val="14"/>
      <name val="Arial"/>
      <family val="2"/>
      <charset val="204"/>
    </font>
    <font>
      <b/>
      <i/>
      <sz val="14"/>
      <color indexed="12"/>
      <name val="Arial"/>
      <family val="2"/>
      <charset val="204"/>
    </font>
    <font>
      <b/>
      <i/>
      <sz val="14"/>
      <color indexed="8"/>
      <name val="Arial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CCFFFF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0" borderId="0"/>
    <xf numFmtId="0" fontId="4" fillId="0" borderId="0"/>
  </cellStyleXfs>
  <cellXfs count="159">
    <xf numFmtId="0" fontId="0" fillId="0" borderId="0" xfId="0"/>
    <xf numFmtId="0" fontId="5" fillId="0" borderId="0" xfId="2" applyNumberFormat="1" applyFont="1" applyFill="1" applyBorder="1" applyAlignment="1" applyProtection="1">
      <alignment horizontal="center"/>
    </xf>
    <xf numFmtId="0" fontId="3" fillId="0" borderId="0" xfId="2" applyNumberFormat="1" applyFont="1" applyFill="1" applyBorder="1" applyAlignment="1" applyProtection="1">
      <alignment horizontal="center"/>
    </xf>
    <xf numFmtId="0" fontId="2" fillId="0" borderId="0" xfId="2" applyNumberFormat="1" applyFont="1" applyFill="1" applyBorder="1" applyAlignment="1" applyProtection="1"/>
    <xf numFmtId="0" fontId="6" fillId="0" borderId="0" xfId="0" applyFont="1" applyBorder="1"/>
    <xf numFmtId="164" fontId="7" fillId="0" borderId="0" xfId="2" applyNumberFormat="1" applyFont="1" applyFill="1" applyBorder="1" applyAlignment="1" applyProtection="1">
      <alignment horizontal="center" vertical="center"/>
    </xf>
    <xf numFmtId="0" fontId="2" fillId="0" borderId="0" xfId="2" applyNumberFormat="1" applyFont="1" applyFill="1" applyBorder="1" applyAlignment="1" applyProtection="1">
      <alignment horizontal="center" vertical="center"/>
    </xf>
    <xf numFmtId="0" fontId="2" fillId="0" borderId="0" xfId="2" applyNumberFormat="1" applyFont="1" applyFill="1" applyBorder="1" applyAlignment="1" applyProtection="1">
      <alignment horizontal="left" vertical="center"/>
    </xf>
    <xf numFmtId="3" fontId="2" fillId="0" borderId="22" xfId="2" applyNumberFormat="1" applyFont="1" applyFill="1" applyBorder="1" applyAlignment="1" applyProtection="1">
      <alignment horizontal="center" vertical="center"/>
    </xf>
    <xf numFmtId="0" fontId="3" fillId="0" borderId="0" xfId="2" applyNumberFormat="1" applyFont="1" applyFill="1" applyBorder="1" applyAlignment="1" applyProtection="1">
      <alignment vertical="center"/>
    </xf>
    <xf numFmtId="3" fontId="3" fillId="0" borderId="0" xfId="2" applyNumberFormat="1" applyFont="1" applyFill="1" applyBorder="1" applyAlignment="1" applyProtection="1">
      <alignment horizontal="center" vertical="center"/>
    </xf>
    <xf numFmtId="166" fontId="3" fillId="0" borderId="0" xfId="2" applyNumberFormat="1" applyFont="1" applyFill="1" applyBorder="1" applyAlignment="1" applyProtection="1">
      <alignment horizontal="center" vertical="center"/>
    </xf>
    <xf numFmtId="3" fontId="9" fillId="0" borderId="0" xfId="2" applyNumberFormat="1" applyFont="1" applyFill="1" applyBorder="1" applyAlignment="1" applyProtection="1">
      <alignment horizontal="center" vertical="center"/>
    </xf>
    <xf numFmtId="3" fontId="9" fillId="0" borderId="23" xfId="2" applyNumberFormat="1" applyFont="1" applyFill="1" applyBorder="1" applyAlignment="1" applyProtection="1">
      <alignment horizontal="center" vertical="center"/>
    </xf>
    <xf numFmtId="0" fontId="9" fillId="0" borderId="23" xfId="2" applyNumberFormat="1" applyFont="1" applyFill="1" applyBorder="1" applyAlignment="1" applyProtection="1">
      <alignment vertical="center"/>
    </xf>
    <xf numFmtId="0" fontId="3" fillId="2" borderId="29" xfId="3" applyNumberFormat="1" applyFont="1" applyFill="1" applyBorder="1" applyAlignment="1" applyProtection="1">
      <alignment horizontal="center" vertical="center" wrapText="1"/>
    </xf>
    <xf numFmtId="0" fontId="3" fillId="3" borderId="29" xfId="3" applyNumberFormat="1" applyFont="1" applyFill="1" applyBorder="1" applyAlignment="1" applyProtection="1">
      <alignment horizontal="center" vertical="center" wrapText="1"/>
    </xf>
    <xf numFmtId="0" fontId="3" fillId="2" borderId="30" xfId="3" applyNumberFormat="1" applyFont="1" applyFill="1" applyBorder="1" applyAlignment="1" applyProtection="1">
      <alignment vertical="center"/>
    </xf>
    <xf numFmtId="0" fontId="3" fillId="2" borderId="31" xfId="3" applyNumberFormat="1" applyFont="1" applyFill="1" applyBorder="1" applyAlignment="1" applyProtection="1">
      <alignment vertical="center"/>
    </xf>
    <xf numFmtId="168" fontId="3" fillId="3" borderId="29" xfId="3" applyNumberFormat="1" applyFont="1" applyFill="1" applyBorder="1" applyAlignment="1" applyProtection="1">
      <alignment horizontal="center" vertical="center"/>
    </xf>
    <xf numFmtId="168" fontId="3" fillId="0" borderId="29" xfId="3" applyNumberFormat="1" applyFont="1" applyFill="1" applyBorder="1" applyAlignment="1" applyProtection="1">
      <alignment horizontal="center" vertical="center"/>
    </xf>
    <xf numFmtId="168" fontId="2" fillId="0" borderId="29" xfId="3" applyNumberFormat="1" applyFont="1" applyFill="1" applyBorder="1" applyAlignment="1" applyProtection="1">
      <alignment horizontal="center" vertical="center"/>
    </xf>
    <xf numFmtId="0" fontId="3" fillId="4" borderId="30" xfId="3" applyNumberFormat="1" applyFont="1" applyFill="1" applyBorder="1" applyAlignment="1" applyProtection="1">
      <alignment vertical="center"/>
    </xf>
    <xf numFmtId="0" fontId="3" fillId="4" borderId="31" xfId="3" applyNumberFormat="1" applyFont="1" applyFill="1" applyBorder="1" applyAlignment="1" applyProtection="1">
      <alignment vertical="center"/>
    </xf>
    <xf numFmtId="168" fontId="3" fillId="4" borderId="29" xfId="3" applyNumberFormat="1" applyFont="1" applyFill="1" applyBorder="1" applyAlignment="1" applyProtection="1">
      <alignment horizontal="center" vertical="center"/>
    </xf>
    <xf numFmtId="0" fontId="3" fillId="2" borderId="30" xfId="2" applyNumberFormat="1" applyFont="1" applyFill="1" applyBorder="1" applyAlignment="1" applyProtection="1">
      <alignment vertical="center"/>
    </xf>
    <xf numFmtId="0" fontId="3" fillId="2" borderId="31" xfId="2" applyNumberFormat="1" applyFont="1" applyFill="1" applyBorder="1" applyAlignment="1" applyProtection="1">
      <alignment vertical="center"/>
    </xf>
    <xf numFmtId="168" fontId="3" fillId="3" borderId="29" xfId="3" applyNumberFormat="1" applyFont="1" applyFill="1" applyBorder="1" applyAlignment="1" applyProtection="1">
      <alignment horizontal="left" vertical="center"/>
    </xf>
    <xf numFmtId="168" fontId="3" fillId="4" borderId="29" xfId="3" applyNumberFormat="1" applyFont="1" applyFill="1" applyBorder="1" applyAlignment="1" applyProtection="1">
      <alignment horizontal="left" vertical="center"/>
    </xf>
    <xf numFmtId="9" fontId="3" fillId="3" borderId="29" xfId="1" applyFont="1" applyFill="1" applyBorder="1" applyAlignment="1" applyProtection="1">
      <alignment horizontal="center" vertical="center"/>
    </xf>
    <xf numFmtId="0" fontId="3" fillId="4" borderId="17" xfId="2" applyNumberFormat="1" applyFont="1" applyFill="1" applyBorder="1" applyAlignment="1" applyProtection="1">
      <alignment vertical="center"/>
    </xf>
    <xf numFmtId="0" fontId="3" fillId="4" borderId="32" xfId="2" applyNumberFormat="1" applyFont="1" applyFill="1" applyBorder="1" applyAlignment="1" applyProtection="1">
      <alignment vertical="center"/>
    </xf>
    <xf numFmtId="168" fontId="3" fillId="4" borderId="14" xfId="3" applyNumberFormat="1" applyFont="1" applyFill="1" applyBorder="1" applyAlignment="1" applyProtection="1">
      <alignment horizontal="center" vertical="center"/>
    </xf>
    <xf numFmtId="168" fontId="3" fillId="4" borderId="14" xfId="2" applyNumberFormat="1" applyFont="1" applyFill="1" applyBorder="1" applyAlignment="1" applyProtection="1">
      <alignment horizontal="center" vertical="center"/>
    </xf>
    <xf numFmtId="168" fontId="3" fillId="4" borderId="14" xfId="2" applyNumberFormat="1" applyFont="1" applyFill="1" applyBorder="1" applyAlignment="1" applyProtection="1">
      <alignment horizontal="left" vertical="center"/>
    </xf>
    <xf numFmtId="0" fontId="10" fillId="5" borderId="2" xfId="2" applyNumberFormat="1" applyFont="1" applyFill="1" applyBorder="1" applyAlignment="1" applyProtection="1">
      <alignment vertical="center"/>
    </xf>
    <xf numFmtId="0" fontId="10" fillId="5" borderId="4" xfId="2" applyNumberFormat="1" applyFont="1" applyFill="1" applyBorder="1" applyAlignment="1" applyProtection="1">
      <alignment vertical="center"/>
    </xf>
    <xf numFmtId="168" fontId="11" fillId="5" borderId="21" xfId="2" applyNumberFormat="1" applyFont="1" applyFill="1" applyBorder="1" applyAlignment="1" applyProtection="1">
      <alignment horizontal="center" vertical="center"/>
    </xf>
    <xf numFmtId="0" fontId="10" fillId="5" borderId="30" xfId="2" applyNumberFormat="1" applyFont="1" applyFill="1" applyBorder="1" applyAlignment="1" applyProtection="1">
      <alignment vertical="center"/>
    </xf>
    <xf numFmtId="0" fontId="10" fillId="5" borderId="31" xfId="2" applyNumberFormat="1" applyFont="1" applyFill="1" applyBorder="1" applyAlignment="1" applyProtection="1">
      <alignment vertical="center"/>
    </xf>
    <xf numFmtId="168" fontId="11" fillId="5" borderId="29" xfId="2" applyNumberFormat="1" applyFont="1" applyFill="1" applyBorder="1" applyAlignment="1" applyProtection="1">
      <alignment horizontal="center" vertical="center"/>
    </xf>
    <xf numFmtId="0" fontId="10" fillId="5" borderId="17" xfId="2" applyNumberFormat="1" applyFont="1" applyFill="1" applyBorder="1" applyAlignment="1" applyProtection="1">
      <alignment vertical="center"/>
    </xf>
    <xf numFmtId="0" fontId="10" fillId="5" borderId="32" xfId="2" applyNumberFormat="1" applyFont="1" applyFill="1" applyBorder="1" applyAlignment="1" applyProtection="1">
      <alignment vertical="center"/>
    </xf>
    <xf numFmtId="168" fontId="11" fillId="5" borderId="14" xfId="2" applyNumberFormat="1" applyFont="1" applyFill="1" applyBorder="1" applyAlignment="1" applyProtection="1">
      <alignment horizontal="center" vertical="center"/>
    </xf>
    <xf numFmtId="0" fontId="10" fillId="0" borderId="33" xfId="2" applyNumberFormat="1" applyFont="1" applyFill="1" applyBorder="1" applyAlignment="1" applyProtection="1">
      <alignment vertical="center"/>
    </xf>
    <xf numFmtId="0" fontId="10" fillId="0" borderId="34" xfId="2" applyNumberFormat="1" applyFont="1" applyFill="1" applyBorder="1" applyAlignment="1" applyProtection="1">
      <alignment vertical="center"/>
    </xf>
    <xf numFmtId="168" fontId="11" fillId="0" borderId="2" xfId="2" applyNumberFormat="1" applyFont="1" applyFill="1" applyBorder="1" applyAlignment="1" applyProtection="1">
      <alignment vertical="center"/>
    </xf>
    <xf numFmtId="168" fontId="11" fillId="0" borderId="35" xfId="2" applyNumberFormat="1" applyFont="1" applyFill="1" applyBorder="1" applyAlignment="1" applyProtection="1">
      <alignment vertical="center"/>
    </xf>
    <xf numFmtId="168" fontId="11" fillId="0" borderId="36" xfId="2" applyNumberFormat="1" applyFont="1" applyFill="1" applyBorder="1" applyAlignment="1" applyProtection="1">
      <alignment vertical="center"/>
    </xf>
    <xf numFmtId="168" fontId="11" fillId="0" borderId="20" xfId="2" applyNumberFormat="1" applyFont="1" applyFill="1" applyBorder="1" applyAlignment="1" applyProtection="1">
      <alignment horizontal="center" vertical="center"/>
    </xf>
    <xf numFmtId="168" fontId="11" fillId="0" borderId="20" xfId="2" applyNumberFormat="1" applyFont="1" applyFill="1" applyBorder="1" applyAlignment="1" applyProtection="1">
      <alignment vertical="center"/>
    </xf>
    <xf numFmtId="168" fontId="11" fillId="0" borderId="19" xfId="2" applyNumberFormat="1" applyFont="1" applyFill="1" applyBorder="1" applyAlignment="1" applyProtection="1">
      <alignment vertical="center"/>
    </xf>
    <xf numFmtId="0" fontId="3" fillId="5" borderId="30" xfId="2" applyNumberFormat="1" applyFont="1" applyFill="1" applyBorder="1" applyAlignment="1" applyProtection="1">
      <alignment vertical="center"/>
    </xf>
    <xf numFmtId="0" fontId="3" fillId="5" borderId="31" xfId="2" applyNumberFormat="1" applyFont="1" applyFill="1" applyBorder="1" applyAlignment="1" applyProtection="1">
      <alignment vertical="center"/>
    </xf>
    <xf numFmtId="169" fontId="2" fillId="5" borderId="29" xfId="2" applyNumberFormat="1" applyFont="1" applyFill="1" applyBorder="1" applyAlignment="1" applyProtection="1">
      <alignment horizontal="center" vertical="center"/>
    </xf>
    <xf numFmtId="169" fontId="3" fillId="5" borderId="29" xfId="2" applyNumberFormat="1" applyFont="1" applyFill="1" applyBorder="1" applyAlignment="1" applyProtection="1">
      <alignment horizontal="center" vertical="center"/>
    </xf>
    <xf numFmtId="0" fontId="3" fillId="6" borderId="17" xfId="2" applyNumberFormat="1" applyFont="1" applyFill="1" applyBorder="1" applyAlignment="1" applyProtection="1">
      <alignment vertical="center"/>
    </xf>
    <xf numFmtId="0" fontId="3" fillId="6" borderId="32" xfId="2" applyNumberFormat="1" applyFont="1" applyFill="1" applyBorder="1" applyAlignment="1" applyProtection="1">
      <alignment vertical="center"/>
    </xf>
    <xf numFmtId="169" fontId="3" fillId="6" borderId="14" xfId="2" applyNumberFormat="1" applyFont="1" applyFill="1" applyBorder="1" applyAlignment="1" applyProtection="1">
      <alignment horizontal="center" vertical="center"/>
    </xf>
    <xf numFmtId="0" fontId="9" fillId="0" borderId="0" xfId="2" applyNumberFormat="1" applyFont="1" applyFill="1" applyBorder="1" applyAlignment="1" applyProtection="1"/>
    <xf numFmtId="0" fontId="8" fillId="0" borderId="0" xfId="2" applyFont="1" applyBorder="1"/>
    <xf numFmtId="0" fontId="9" fillId="0" borderId="0" xfId="2" applyFont="1" applyBorder="1"/>
    <xf numFmtId="0" fontId="8" fillId="0" borderId="37" xfId="2" applyFont="1" applyBorder="1"/>
    <xf numFmtId="0" fontId="8" fillId="0" borderId="0" xfId="2" applyFont="1" applyBorder="1" applyAlignment="1"/>
    <xf numFmtId="0" fontId="3" fillId="5" borderId="37" xfId="2" applyNumberFormat="1" applyFont="1" applyFill="1" applyBorder="1" applyAlignment="1" applyProtection="1">
      <alignment vertical="center"/>
    </xf>
    <xf numFmtId="0" fontId="3" fillId="5" borderId="38" xfId="2" applyNumberFormat="1" applyFont="1" applyFill="1" applyBorder="1" applyAlignment="1" applyProtection="1">
      <alignment vertical="center"/>
    </xf>
    <xf numFmtId="169" fontId="2" fillId="5" borderId="13" xfId="2" applyNumberFormat="1" applyFont="1" applyFill="1" applyBorder="1" applyAlignment="1" applyProtection="1">
      <alignment horizontal="center" vertical="center"/>
    </xf>
    <xf numFmtId="169" fontId="3" fillId="5" borderId="13" xfId="2" applyNumberFormat="1" applyFont="1" applyFill="1" applyBorder="1" applyAlignment="1" applyProtection="1">
      <alignment horizontal="center" vertical="center"/>
    </xf>
    <xf numFmtId="169" fontId="3" fillId="5" borderId="10" xfId="2" applyNumberFormat="1" applyFont="1" applyFill="1" applyBorder="1" applyAlignment="1" applyProtection="1">
      <alignment horizontal="center" vertical="center"/>
    </xf>
    <xf numFmtId="169" fontId="2" fillId="5" borderId="12" xfId="2" applyNumberFormat="1" applyFont="1" applyFill="1" applyBorder="1" applyAlignment="1" applyProtection="1">
      <alignment horizontal="center" vertical="center"/>
    </xf>
    <xf numFmtId="169" fontId="2" fillId="5" borderId="5" xfId="2" applyNumberFormat="1" applyFont="1" applyFill="1" applyBorder="1" applyAlignment="1" applyProtection="1">
      <alignment horizontal="center" vertical="center"/>
    </xf>
    <xf numFmtId="169" fontId="2" fillId="5" borderId="10" xfId="2" applyNumberFormat="1" applyFont="1" applyFill="1" applyBorder="1" applyAlignment="1" applyProtection="1">
      <alignment horizontal="center" vertical="center"/>
    </xf>
    <xf numFmtId="169" fontId="2" fillId="5" borderId="37" xfId="2" applyNumberFormat="1" applyFont="1" applyFill="1" applyBorder="1" applyAlignment="1" applyProtection="1">
      <alignment horizontal="center" vertical="center"/>
    </xf>
    <xf numFmtId="0" fontId="3" fillId="5" borderId="39" xfId="2" applyNumberFormat="1" applyFont="1" applyFill="1" applyBorder="1" applyAlignment="1" applyProtection="1">
      <alignment vertical="center"/>
    </xf>
    <xf numFmtId="0" fontId="3" fillId="5" borderId="40" xfId="2" applyNumberFormat="1" applyFont="1" applyFill="1" applyBorder="1" applyAlignment="1" applyProtection="1">
      <alignment vertical="center"/>
    </xf>
    <xf numFmtId="169" fontId="2" fillId="5" borderId="9" xfId="2" applyNumberFormat="1" applyFont="1" applyFill="1" applyBorder="1" applyAlignment="1" applyProtection="1">
      <alignment horizontal="center" vertical="center"/>
    </xf>
    <xf numFmtId="169" fontId="3" fillId="5" borderId="9" xfId="2" applyNumberFormat="1" applyFont="1" applyFill="1" applyBorder="1" applyAlignment="1" applyProtection="1">
      <alignment horizontal="center" vertical="center"/>
    </xf>
    <xf numFmtId="169" fontId="3" fillId="5" borderId="6" xfId="2" applyNumberFormat="1" applyFont="1" applyFill="1" applyBorder="1" applyAlignment="1" applyProtection="1">
      <alignment horizontal="center" vertical="center"/>
    </xf>
    <xf numFmtId="169" fontId="2" fillId="5" borderId="8" xfId="2" applyNumberFormat="1" applyFont="1" applyFill="1" applyBorder="1" applyAlignment="1" applyProtection="1">
      <alignment horizontal="center" vertical="center"/>
    </xf>
    <xf numFmtId="169" fontId="2" fillId="5" borderId="41" xfId="2" applyNumberFormat="1" applyFont="1" applyFill="1" applyBorder="1" applyAlignment="1" applyProtection="1">
      <alignment horizontal="center" vertical="center"/>
    </xf>
    <xf numFmtId="169" fontId="2" fillId="5" borderId="6" xfId="2" applyNumberFormat="1" applyFont="1" applyFill="1" applyBorder="1" applyAlignment="1" applyProtection="1">
      <alignment horizontal="center" vertical="center"/>
    </xf>
    <xf numFmtId="169" fontId="2" fillId="5" borderId="39" xfId="2" applyNumberFormat="1" applyFont="1" applyFill="1" applyBorder="1" applyAlignment="1" applyProtection="1">
      <alignment horizontal="center" vertical="center"/>
    </xf>
    <xf numFmtId="0" fontId="3" fillId="6" borderId="39" xfId="2" applyNumberFormat="1" applyFont="1" applyFill="1" applyBorder="1" applyAlignment="1" applyProtection="1">
      <alignment vertical="center" wrapText="1"/>
    </xf>
    <xf numFmtId="0" fontId="3" fillId="6" borderId="40" xfId="2" applyNumberFormat="1" applyFont="1" applyFill="1" applyBorder="1" applyAlignment="1" applyProtection="1">
      <alignment vertical="center" wrapText="1"/>
    </xf>
    <xf numFmtId="169" fontId="3" fillId="6" borderId="9" xfId="2" applyNumberFormat="1" applyFont="1" applyFill="1" applyBorder="1" applyAlignment="1" applyProtection="1">
      <alignment horizontal="center" vertical="center"/>
    </xf>
    <xf numFmtId="169" fontId="3" fillId="6" borderId="6" xfId="2" applyNumberFormat="1" applyFont="1" applyFill="1" applyBorder="1" applyAlignment="1" applyProtection="1">
      <alignment horizontal="center" vertical="center"/>
    </xf>
    <xf numFmtId="169" fontId="3" fillId="6" borderId="8" xfId="2" applyNumberFormat="1" applyFont="1" applyFill="1" applyBorder="1" applyAlignment="1" applyProtection="1">
      <alignment horizontal="center" vertical="center"/>
    </xf>
    <xf numFmtId="169" fontId="3" fillId="6" borderId="41" xfId="2" applyNumberFormat="1" applyFont="1" applyFill="1" applyBorder="1" applyAlignment="1" applyProtection="1">
      <alignment horizontal="center" vertical="center"/>
    </xf>
    <xf numFmtId="169" fontId="3" fillId="6" borderId="39" xfId="2" applyNumberFormat="1" applyFont="1" applyFill="1" applyBorder="1" applyAlignment="1" applyProtection="1">
      <alignment horizontal="center" vertical="center"/>
    </xf>
    <xf numFmtId="0" fontId="3" fillId="7" borderId="30" xfId="3" applyNumberFormat="1" applyFont="1" applyFill="1" applyBorder="1" applyAlignment="1" applyProtection="1">
      <alignment vertical="center"/>
    </xf>
    <xf numFmtId="0" fontId="3" fillId="7" borderId="31" xfId="3" applyNumberFormat="1" applyFont="1" applyFill="1" applyBorder="1" applyAlignment="1" applyProtection="1">
      <alignment vertical="center"/>
    </xf>
    <xf numFmtId="168" fontId="2" fillId="8" borderId="29" xfId="3" applyNumberFormat="1" applyFont="1" applyFill="1" applyBorder="1" applyAlignment="1" applyProtection="1">
      <alignment horizontal="center" vertical="center"/>
    </xf>
    <xf numFmtId="0" fontId="3" fillId="7" borderId="17" xfId="3" applyNumberFormat="1" applyFont="1" applyFill="1" applyBorder="1" applyAlignment="1" applyProtection="1">
      <alignment vertical="center"/>
    </xf>
    <xf numFmtId="0" fontId="3" fillId="7" borderId="32" xfId="3" applyNumberFormat="1" applyFont="1" applyFill="1" applyBorder="1" applyAlignment="1" applyProtection="1">
      <alignment vertical="center"/>
    </xf>
    <xf numFmtId="168" fontId="2" fillId="0" borderId="14" xfId="3" applyNumberFormat="1" applyFont="1" applyFill="1" applyBorder="1" applyAlignment="1" applyProtection="1">
      <alignment horizontal="center" vertical="center"/>
    </xf>
    <xf numFmtId="168" fontId="2" fillId="8" borderId="14" xfId="3" applyNumberFormat="1" applyFont="1" applyFill="1" applyBorder="1" applyAlignment="1" applyProtection="1">
      <alignment horizontal="center" vertical="center"/>
    </xf>
    <xf numFmtId="0" fontId="13" fillId="0" borderId="14" xfId="0" applyNumberFormat="1" applyFont="1" applyFill="1" applyBorder="1" applyAlignment="1" applyProtection="1">
      <alignment horizontal="left"/>
    </xf>
    <xf numFmtId="1" fontId="14" fillId="4" borderId="15" xfId="0" applyNumberFormat="1" applyFont="1" applyFill="1" applyBorder="1" applyAlignment="1" applyProtection="1">
      <alignment horizontal="center"/>
    </xf>
    <xf numFmtId="1" fontId="14" fillId="2" borderId="15" xfId="0" applyNumberFormat="1" applyFont="1" applyFill="1" applyBorder="1" applyAlignment="1" applyProtection="1">
      <alignment horizontal="center"/>
    </xf>
    <xf numFmtId="1" fontId="15" fillId="3" borderId="15" xfId="0" applyNumberFormat="1" applyFont="1" applyFill="1" applyBorder="1" applyAlignment="1" applyProtection="1">
      <alignment horizontal="center"/>
    </xf>
    <xf numFmtId="1" fontId="14" fillId="0" borderId="16" xfId="0" applyNumberFormat="1" applyFont="1" applyFill="1" applyBorder="1" applyAlignment="1" applyProtection="1">
      <alignment horizontal="center"/>
    </xf>
    <xf numFmtId="1" fontId="14" fillId="0" borderId="17" xfId="0" applyNumberFormat="1" applyFont="1" applyFill="1" applyBorder="1" applyAlignment="1" applyProtection="1">
      <alignment horizontal="center"/>
    </xf>
    <xf numFmtId="1" fontId="16" fillId="3" borderId="15" xfId="0" applyNumberFormat="1" applyFont="1" applyFill="1" applyBorder="1" applyAlignment="1" applyProtection="1">
      <alignment horizontal="center"/>
    </xf>
    <xf numFmtId="1" fontId="14" fillId="0" borderId="18" xfId="0" applyNumberFormat="1" applyFont="1" applyFill="1" applyBorder="1" applyAlignment="1" applyProtection="1">
      <alignment horizontal="center"/>
    </xf>
    <xf numFmtId="0" fontId="5" fillId="0" borderId="6" xfId="0" applyNumberFormat="1" applyFont="1" applyFill="1" applyBorder="1" applyAlignment="1" applyProtection="1">
      <alignment horizontal="center"/>
    </xf>
    <xf numFmtId="0" fontId="5" fillId="2" borderId="6" xfId="0" applyNumberFormat="1" applyFont="1" applyFill="1" applyBorder="1" applyAlignment="1" applyProtection="1">
      <alignment horizontal="center"/>
    </xf>
    <xf numFmtId="0" fontId="5" fillId="0" borderId="7" xfId="0" applyNumberFormat="1" applyFont="1" applyFill="1" applyBorder="1" applyAlignment="1" applyProtection="1">
      <alignment horizontal="center"/>
    </xf>
    <xf numFmtId="0" fontId="5" fillId="2" borderId="8" xfId="0" applyNumberFormat="1" applyFont="1" applyFill="1" applyBorder="1" applyAlignment="1" applyProtection="1">
      <alignment horizontal="center"/>
    </xf>
    <xf numFmtId="0" fontId="5" fillId="0" borderId="10" xfId="0" applyNumberFormat="1" applyFont="1" applyFill="1" applyBorder="1" applyAlignment="1" applyProtection="1">
      <alignment horizontal="center"/>
    </xf>
    <xf numFmtId="0" fontId="5" fillId="2" borderId="10" xfId="0" applyNumberFormat="1" applyFont="1" applyFill="1" applyBorder="1" applyAlignment="1" applyProtection="1">
      <alignment horizontal="center"/>
    </xf>
    <xf numFmtId="0" fontId="5" fillId="0" borderId="11" xfId="0" applyNumberFormat="1" applyFont="1" applyFill="1" applyBorder="1" applyAlignment="1" applyProtection="1">
      <alignment horizontal="center"/>
    </xf>
    <xf numFmtId="0" fontId="5" fillId="2" borderId="12" xfId="0" applyNumberFormat="1" applyFont="1" applyFill="1" applyBorder="1" applyAlignment="1" applyProtection="1">
      <alignment horizontal="center"/>
    </xf>
    <xf numFmtId="0" fontId="3" fillId="2" borderId="29" xfId="3" applyNumberFormat="1" applyFont="1" applyFill="1" applyBorder="1" applyAlignment="1" applyProtection="1">
      <alignment horizontal="center" vertical="center"/>
    </xf>
    <xf numFmtId="0" fontId="3" fillId="3" borderId="29" xfId="3" applyNumberFormat="1" applyFont="1" applyFill="1" applyBorder="1" applyAlignment="1" applyProtection="1">
      <alignment horizontal="center" vertical="center"/>
    </xf>
    <xf numFmtId="0" fontId="2" fillId="0" borderId="22" xfId="2" applyNumberFormat="1" applyFont="1" applyFill="1" applyBorder="1" applyAlignment="1" applyProtection="1">
      <alignment horizontal="center" vertical="center"/>
    </xf>
    <xf numFmtId="0" fontId="3" fillId="7" borderId="29" xfId="3" applyNumberFormat="1" applyFont="1" applyFill="1" applyBorder="1" applyAlignment="1" applyProtection="1">
      <alignment horizontal="center" vertical="center" wrapText="1"/>
    </xf>
    <xf numFmtId="0" fontId="3" fillId="0" borderId="22" xfId="2" applyNumberFormat="1" applyFont="1" applyFill="1" applyBorder="1" applyAlignment="1" applyProtection="1">
      <alignment horizontal="center" vertical="center"/>
    </xf>
    <xf numFmtId="0" fontId="12" fillId="0" borderId="1" xfId="0" applyNumberFormat="1" applyFont="1" applyFill="1" applyBorder="1" applyAlignment="1" applyProtection="1">
      <alignment horizontal="center" vertical="center"/>
    </xf>
    <xf numFmtId="0" fontId="12" fillId="0" borderId="5" xfId="0" applyNumberFormat="1" applyFont="1" applyFill="1" applyBorder="1" applyAlignment="1" applyProtection="1">
      <alignment horizontal="center" vertical="center"/>
    </xf>
    <xf numFmtId="0" fontId="12" fillId="0" borderId="2" xfId="0" applyNumberFormat="1" applyFont="1" applyFill="1" applyBorder="1" applyAlignment="1" applyProtection="1">
      <alignment horizontal="center" vertical="center"/>
    </xf>
    <xf numFmtId="0" fontId="12" fillId="0" borderId="3" xfId="0" applyNumberFormat="1" applyFont="1" applyFill="1" applyBorder="1" applyAlignment="1" applyProtection="1">
      <alignment horizontal="center" vertical="center"/>
    </xf>
    <xf numFmtId="0" fontId="12" fillId="0" borderId="4" xfId="0" applyNumberFormat="1" applyFont="1" applyFill="1" applyBorder="1" applyAlignment="1" applyProtection="1">
      <alignment horizontal="center" vertical="center"/>
    </xf>
    <xf numFmtId="0" fontId="5" fillId="0" borderId="8" xfId="0" applyNumberFormat="1" applyFont="1" applyFill="1" applyBorder="1" applyAlignment="1" applyProtection="1">
      <alignment horizontal="center" vertical="center"/>
    </xf>
    <xf numFmtId="0" fontId="5" fillId="0" borderId="12" xfId="0" applyNumberFormat="1" applyFont="1" applyFill="1" applyBorder="1" applyAlignment="1" applyProtection="1">
      <alignment horizontal="center" vertical="center"/>
    </xf>
    <xf numFmtId="0" fontId="5" fillId="0" borderId="9" xfId="0" applyNumberFormat="1" applyFont="1" applyFill="1" applyBorder="1" applyAlignment="1" applyProtection="1">
      <alignment horizontal="center" vertical="center"/>
    </xf>
    <xf numFmtId="0" fontId="5" fillId="0" borderId="13" xfId="0" applyNumberFormat="1" applyFont="1" applyFill="1" applyBorder="1" applyAlignment="1" applyProtection="1">
      <alignment horizontal="center" vertical="center"/>
    </xf>
    <xf numFmtId="0" fontId="5" fillId="3" borderId="6" xfId="0" applyNumberFormat="1" applyFont="1" applyFill="1" applyBorder="1" applyAlignment="1" applyProtection="1">
      <alignment horizontal="center" vertical="center"/>
    </xf>
    <xf numFmtId="0" fontId="5" fillId="3" borderId="10" xfId="0" applyNumberFormat="1" applyFont="1" applyFill="1" applyBorder="1" applyAlignment="1" applyProtection="1">
      <alignment horizontal="center" vertical="center"/>
    </xf>
    <xf numFmtId="168" fontId="11" fillId="5" borderId="29" xfId="2" applyNumberFormat="1" applyFont="1" applyFill="1" applyBorder="1" applyAlignment="1" applyProtection="1">
      <alignment horizontal="right" vertical="center"/>
    </xf>
    <xf numFmtId="168" fontId="11" fillId="5" borderId="21" xfId="2" applyNumberFormat="1" applyFont="1" applyFill="1" applyBorder="1" applyAlignment="1" applyProtection="1">
      <alignment horizontal="right" vertical="center"/>
    </xf>
    <xf numFmtId="168" fontId="11" fillId="5" borderId="14" xfId="2" applyNumberFormat="1" applyFont="1" applyFill="1" applyBorder="1" applyAlignment="1" applyProtection="1">
      <alignment horizontal="right" vertical="center"/>
    </xf>
    <xf numFmtId="0" fontId="3" fillId="2" borderId="24" xfId="3" applyNumberFormat="1" applyFont="1" applyFill="1" applyBorder="1" applyAlignment="1" applyProtection="1">
      <alignment horizontal="center" vertical="center" wrapText="1"/>
    </xf>
    <xf numFmtId="0" fontId="3" fillId="2" borderId="26" xfId="3" applyNumberFormat="1" applyFont="1" applyFill="1" applyBorder="1" applyAlignment="1" applyProtection="1">
      <alignment horizontal="center" vertical="center" wrapText="1"/>
    </xf>
    <xf numFmtId="0" fontId="3" fillId="2" borderId="25" xfId="3" applyNumberFormat="1" applyFont="1" applyFill="1" applyBorder="1" applyAlignment="1" applyProtection="1">
      <alignment horizontal="center" vertical="center" wrapText="1"/>
    </xf>
    <xf numFmtId="0" fontId="3" fillId="2" borderId="29" xfId="3" applyNumberFormat="1" applyFont="1" applyFill="1" applyBorder="1" applyAlignment="1" applyProtection="1">
      <alignment horizontal="center" vertical="center"/>
    </xf>
    <xf numFmtId="0" fontId="3" fillId="3" borderId="29" xfId="3" applyNumberFormat="1" applyFont="1" applyFill="1" applyBorder="1" applyAlignment="1" applyProtection="1">
      <alignment horizontal="center" vertical="center"/>
    </xf>
    <xf numFmtId="3" fontId="2" fillId="0" borderId="22" xfId="2" applyNumberFormat="1" applyFont="1" applyFill="1" applyBorder="1" applyAlignment="1" applyProtection="1">
      <alignment horizontal="center"/>
    </xf>
    <xf numFmtId="0" fontId="3" fillId="0" borderId="22" xfId="2" applyNumberFormat="1" applyFont="1" applyFill="1" applyBorder="1" applyAlignment="1" applyProtection="1">
      <alignment vertical="center"/>
    </xf>
    <xf numFmtId="1" fontId="3" fillId="0" borderId="22" xfId="2" applyNumberFormat="1" applyFont="1" applyFill="1" applyBorder="1" applyAlignment="1" applyProtection="1">
      <alignment horizontal="center" vertical="center"/>
    </xf>
    <xf numFmtId="167" fontId="2" fillId="0" borderId="22" xfId="2" applyNumberFormat="1" applyFont="1" applyFill="1" applyBorder="1" applyAlignment="1" applyProtection="1">
      <alignment horizontal="left" vertical="center"/>
    </xf>
    <xf numFmtId="3" fontId="3" fillId="0" borderId="22" xfId="2" applyNumberFormat="1" applyFont="1" applyFill="1" applyBorder="1" applyAlignment="1" applyProtection="1">
      <alignment horizontal="center"/>
    </xf>
    <xf numFmtId="0" fontId="2" fillId="0" borderId="22" xfId="2" applyNumberFormat="1" applyFont="1" applyFill="1" applyBorder="1" applyAlignment="1" applyProtection="1">
      <alignment horizontal="center" vertical="center"/>
    </xf>
    <xf numFmtId="1" fontId="2" fillId="0" borderId="22" xfId="2" applyNumberFormat="1" applyFont="1" applyFill="1" applyBorder="1" applyAlignment="1" applyProtection="1">
      <alignment horizontal="center" vertical="center"/>
    </xf>
    <xf numFmtId="165" fontId="2" fillId="0" borderId="22" xfId="2" applyNumberFormat="1" applyFont="1" applyFill="1" applyBorder="1" applyAlignment="1" applyProtection="1">
      <alignment horizontal="center" vertical="center"/>
    </xf>
    <xf numFmtId="0" fontId="2" fillId="0" borderId="22" xfId="2" applyNumberFormat="1" applyFont="1" applyFill="1" applyBorder="1" applyAlignment="1" applyProtection="1">
      <alignment horizontal="left" vertical="center"/>
    </xf>
    <xf numFmtId="0" fontId="8" fillId="0" borderId="22" xfId="2" applyFont="1" applyBorder="1" applyAlignment="1">
      <alignment horizontal="left"/>
    </xf>
    <xf numFmtId="3" fontId="7" fillId="0" borderId="22" xfId="2" applyNumberFormat="1" applyFont="1" applyBorder="1" applyAlignment="1">
      <alignment horizontal="center"/>
    </xf>
    <xf numFmtId="0" fontId="2" fillId="0" borderId="22" xfId="2" applyNumberFormat="1" applyFont="1" applyFill="1" applyBorder="1" applyAlignment="1" applyProtection="1">
      <alignment horizontal="left"/>
    </xf>
    <xf numFmtId="165" fontId="3" fillId="0" borderId="22" xfId="2" applyNumberFormat="1" applyFont="1" applyFill="1" applyBorder="1" applyAlignment="1" applyProtection="1">
      <alignment horizontal="center" vertical="center"/>
    </xf>
    <xf numFmtId="0" fontId="3" fillId="7" borderId="42" xfId="3" applyNumberFormat="1" applyFont="1" applyFill="1" applyBorder="1" applyAlignment="1" applyProtection="1">
      <alignment horizontal="center" vertical="center" wrapText="1"/>
    </xf>
    <xf numFmtId="0" fontId="3" fillId="7" borderId="29" xfId="3" applyNumberFormat="1" applyFont="1" applyFill="1" applyBorder="1" applyAlignment="1" applyProtection="1">
      <alignment horizontal="center" vertical="center" wrapText="1"/>
    </xf>
    <xf numFmtId="0" fontId="6" fillId="0" borderId="42" xfId="0" applyFont="1" applyBorder="1" applyAlignment="1">
      <alignment horizontal="center" vertical="center" wrapText="1"/>
    </xf>
    <xf numFmtId="0" fontId="3" fillId="2" borderId="24" xfId="3" applyNumberFormat="1" applyFont="1" applyFill="1" applyBorder="1" applyAlignment="1" applyProtection="1">
      <alignment horizontal="center" vertical="center"/>
    </xf>
    <xf numFmtId="0" fontId="3" fillId="2" borderId="25" xfId="3" applyNumberFormat="1" applyFont="1" applyFill="1" applyBorder="1" applyAlignment="1" applyProtection="1">
      <alignment horizontal="center" vertical="center"/>
    </xf>
    <xf numFmtId="0" fontId="3" fillId="2" borderId="27" xfId="3" applyNumberFormat="1" applyFont="1" applyFill="1" applyBorder="1" applyAlignment="1" applyProtection="1">
      <alignment horizontal="center" vertical="center"/>
    </xf>
    <xf numFmtId="0" fontId="3" fillId="2" borderId="28" xfId="3" applyNumberFormat="1" applyFont="1" applyFill="1" applyBorder="1" applyAlignment="1" applyProtection="1">
      <alignment horizontal="center" vertical="center"/>
    </xf>
    <xf numFmtId="168" fontId="3" fillId="0" borderId="29" xfId="3" applyNumberFormat="1" applyFont="1" applyFill="1" applyBorder="1" applyAlignment="1" applyProtection="1">
      <alignment horizontal="right" vertical="center"/>
    </xf>
    <xf numFmtId="0" fontId="7" fillId="0" borderId="22" xfId="2" applyFont="1" applyFill="1" applyBorder="1" applyAlignment="1">
      <alignment horizontal="center" vertical="center"/>
    </xf>
    <xf numFmtId="0" fontId="3" fillId="0" borderId="22" xfId="2" applyNumberFormat="1" applyFont="1" applyFill="1" applyBorder="1" applyAlignment="1" applyProtection="1">
      <alignment horizontal="center" vertical="center"/>
    </xf>
  </cellXfs>
  <cellStyles count="4">
    <cellStyle name="Обычный" xfId="0" builtinId="0"/>
    <cellStyle name="Обычный 9" xfId="2"/>
    <cellStyle name="Обычный_report_05082009_104829 1 " xfId="3"/>
    <cellStyle name="Процентный" xfId="1" builtinId="5"/>
  </cellStyles>
  <dxfs count="3">
    <dxf>
      <font>
        <condense val="0"/>
        <extend val="0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13607</xdr:colOff>
      <xdr:row>0</xdr:row>
      <xdr:rowOff>81641</xdr:rowOff>
    </xdr:from>
    <xdr:to>
      <xdr:col>16</xdr:col>
      <xdr:colOff>503463</xdr:colOff>
      <xdr:row>3</xdr:row>
      <xdr:rowOff>40820</xdr:rowOff>
    </xdr:to>
    <xdr:sp macro="[0]!Go" textlink="">
      <xdr:nvSpPr>
        <xdr:cNvPr id="2" name="Прямоугольник 1"/>
        <xdr:cNvSpPr/>
      </xdr:nvSpPr>
      <xdr:spPr>
        <a:xfrm>
          <a:off x="7361464" y="81641"/>
          <a:ext cx="2939142" cy="530679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ru-RU" sz="2000" b="1" cap="all" spc="0">
              <a:ln>
                <a:solidFill>
                  <a:srgbClr val="FF0000"/>
                </a:solidFill>
              </a:ln>
              <a:solidFill>
                <a:srgbClr val="FF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  <a:reflection blurRad="10000" stA="55000" endPos="48000" dist="500" dir="5400000" sy="-100000" algn="bl" rotWithShape="0"/>
              </a:effectLst>
            </a:rPr>
            <a:t>Скрины</a:t>
          </a:r>
          <a:endParaRPr lang="ru-RU" sz="1100" b="1" cap="all" spc="0">
            <a:ln>
              <a:solidFill>
                <a:srgbClr val="FF0000"/>
              </a:solidFill>
            </a:ln>
            <a:solidFill>
              <a:srgbClr val="FF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  <a:reflection blurRad="10000" stA="55000" endPos="48000" dist="500" dir="5400000" sy="-100000" algn="bl" rotWithShape="0"/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zoomScale="40" zoomScaleNormal="40" workbookViewId="0">
      <selection activeCell="R50" sqref="R50"/>
    </sheetView>
  </sheetViews>
  <sheetFormatPr defaultRowHeight="15" x14ac:dyDescent="0.25"/>
  <cols>
    <col min="3" max="3" width="9.140625" customWidth="1"/>
    <col min="5" max="5" width="9.140625" customWidth="1"/>
    <col min="7" max="8" width="9.140625" customWidth="1"/>
    <col min="18" max="18" width="9.1406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A4"/>
  <sheetViews>
    <sheetView zoomScale="80" zoomScaleNormal="80" workbookViewId="0">
      <selection sqref="A1:AA4"/>
    </sheetView>
  </sheetViews>
  <sheetFormatPr defaultRowHeight="15" x14ac:dyDescent="0.25"/>
  <cols>
    <col min="1" max="1" width="24" customWidth="1"/>
    <col min="2" max="2" width="11.85546875" customWidth="1"/>
    <col min="3" max="3" width="11.7109375" customWidth="1"/>
    <col min="4" max="4" width="13.5703125" customWidth="1"/>
    <col min="5" max="5" width="9.85546875" customWidth="1"/>
    <col min="6" max="6" width="9.42578125" customWidth="1"/>
    <col min="7" max="7" width="12.28515625" customWidth="1"/>
    <col min="8" max="8" width="11.42578125" customWidth="1"/>
    <col min="9" max="9" width="8.7109375" customWidth="1"/>
    <col min="10" max="10" width="9.140625" customWidth="1"/>
    <col min="11" max="11" width="6.85546875" customWidth="1"/>
    <col min="12" max="12" width="10.140625" customWidth="1"/>
    <col min="13" max="27" width="8.85546875" customWidth="1"/>
  </cols>
  <sheetData>
    <row r="1" spans="1:27" ht="15.75" x14ac:dyDescent="0.25">
      <c r="A1" s="117" t="s">
        <v>0</v>
      </c>
      <c r="B1" s="119" t="s">
        <v>1</v>
      </c>
      <c r="C1" s="120"/>
      <c r="D1" s="120"/>
      <c r="E1" s="120"/>
      <c r="F1" s="121"/>
      <c r="G1" s="119" t="s">
        <v>2</v>
      </c>
      <c r="H1" s="120"/>
      <c r="I1" s="121"/>
      <c r="J1" s="119" t="s">
        <v>3</v>
      </c>
      <c r="K1" s="120"/>
      <c r="L1" s="121"/>
      <c r="M1" s="119" t="s">
        <v>4</v>
      </c>
      <c r="N1" s="120"/>
      <c r="O1" s="121"/>
      <c r="P1" s="119" t="s">
        <v>5</v>
      </c>
      <c r="Q1" s="120"/>
      <c r="R1" s="121"/>
      <c r="S1" s="119" t="s">
        <v>6</v>
      </c>
      <c r="T1" s="120"/>
      <c r="U1" s="121"/>
      <c r="V1" s="119" t="s">
        <v>7</v>
      </c>
      <c r="W1" s="120"/>
      <c r="X1" s="121"/>
      <c r="Y1" s="119" t="s">
        <v>8</v>
      </c>
      <c r="Z1" s="120"/>
      <c r="AA1" s="121"/>
    </row>
    <row r="2" spans="1:27" x14ac:dyDescent="0.25">
      <c r="A2" s="118"/>
      <c r="B2" s="104" t="s">
        <v>9</v>
      </c>
      <c r="C2" s="105" t="s">
        <v>10</v>
      </c>
      <c r="D2" s="126" t="s">
        <v>11</v>
      </c>
      <c r="E2" s="106" t="s">
        <v>12</v>
      </c>
      <c r="F2" s="107" t="s">
        <v>13</v>
      </c>
      <c r="G2" s="124" t="s">
        <v>14</v>
      </c>
      <c r="H2" s="126" t="s">
        <v>11</v>
      </c>
      <c r="I2" s="122" t="s">
        <v>15</v>
      </c>
      <c r="J2" s="124" t="s">
        <v>14</v>
      </c>
      <c r="K2" s="126" t="s">
        <v>11</v>
      </c>
      <c r="L2" s="122" t="s">
        <v>15</v>
      </c>
      <c r="M2" s="124" t="s">
        <v>14</v>
      </c>
      <c r="N2" s="126" t="s">
        <v>11</v>
      </c>
      <c r="O2" s="122" t="s">
        <v>15</v>
      </c>
      <c r="P2" s="124" t="s">
        <v>14</v>
      </c>
      <c r="Q2" s="126" t="s">
        <v>11</v>
      </c>
      <c r="R2" s="122" t="s">
        <v>15</v>
      </c>
      <c r="S2" s="124" t="s">
        <v>14</v>
      </c>
      <c r="T2" s="126" t="s">
        <v>11</v>
      </c>
      <c r="U2" s="122" t="s">
        <v>15</v>
      </c>
      <c r="V2" s="124" t="s">
        <v>14</v>
      </c>
      <c r="W2" s="126" t="s">
        <v>11</v>
      </c>
      <c r="X2" s="122" t="s">
        <v>15</v>
      </c>
      <c r="Y2" s="124" t="s">
        <v>14</v>
      </c>
      <c r="Z2" s="126" t="s">
        <v>11</v>
      </c>
      <c r="AA2" s="122" t="s">
        <v>15</v>
      </c>
    </row>
    <row r="3" spans="1:27" ht="25.5" customHeight="1" x14ac:dyDescent="0.25">
      <c r="A3" s="118"/>
      <c r="B3" s="108" t="s">
        <v>16</v>
      </c>
      <c r="C3" s="109" t="s">
        <v>17</v>
      </c>
      <c r="D3" s="127"/>
      <c r="E3" s="110" t="s">
        <v>18</v>
      </c>
      <c r="F3" s="111" t="s">
        <v>19</v>
      </c>
      <c r="G3" s="125"/>
      <c r="H3" s="127"/>
      <c r="I3" s="123"/>
      <c r="J3" s="125"/>
      <c r="K3" s="127"/>
      <c r="L3" s="123"/>
      <c r="M3" s="125"/>
      <c r="N3" s="127"/>
      <c r="O3" s="123"/>
      <c r="P3" s="125"/>
      <c r="Q3" s="127"/>
      <c r="R3" s="123"/>
      <c r="S3" s="125"/>
      <c r="T3" s="127"/>
      <c r="U3" s="123"/>
      <c r="V3" s="125"/>
      <c r="W3" s="127"/>
      <c r="X3" s="123"/>
      <c r="Y3" s="125"/>
      <c r="Z3" s="127"/>
      <c r="AA3" s="123"/>
    </row>
    <row r="4" spans="1:27" ht="26.25" customHeight="1" thickBot="1" x14ac:dyDescent="0.35">
      <c r="A4" s="96" t="s">
        <v>20</v>
      </c>
      <c r="B4" s="97">
        <f>Лист3!C5</f>
        <v>16686.5</v>
      </c>
      <c r="C4" s="98">
        <f>Лист3!C6</f>
        <v>16690.2</v>
      </c>
      <c r="D4" s="99">
        <f>Лист3!C7</f>
        <v>16702</v>
      </c>
      <c r="E4" s="100">
        <f>D4-B4</f>
        <v>15.5</v>
      </c>
      <c r="F4" s="100">
        <f>D4-C4</f>
        <v>11.799999999999272</v>
      </c>
      <c r="G4" s="101">
        <f>Лист3!D14</f>
        <v>16736</v>
      </c>
      <c r="H4" s="102">
        <f>Лист3!F14</f>
        <v>16736</v>
      </c>
      <c r="I4" s="103">
        <f>H4-G4</f>
        <v>0</v>
      </c>
      <c r="J4" s="101">
        <f>Лист3!K41</f>
        <v>320.69999999999993</v>
      </c>
      <c r="K4" s="102">
        <f>Лист3!N41</f>
        <v>287.09999999999991</v>
      </c>
      <c r="L4" s="103">
        <f>K4-J4</f>
        <v>-33.600000000000023</v>
      </c>
      <c r="M4" s="101">
        <f>Лист3!K33</f>
        <v>408.59999999999991</v>
      </c>
      <c r="N4" s="102">
        <f>Лист3!N33</f>
        <v>363.8</v>
      </c>
      <c r="O4" s="103">
        <f>N4-M4</f>
        <v>-44.799999999999898</v>
      </c>
      <c r="P4" s="101">
        <f>Лист3!K38</f>
        <v>-87.899999999999977</v>
      </c>
      <c r="Q4" s="102">
        <f>Лист3!N38</f>
        <v>-76.699999999999989</v>
      </c>
      <c r="R4" s="103">
        <f>Q4-P4</f>
        <v>11.199999999999989</v>
      </c>
      <c r="S4" s="101">
        <f>Лист3!K44</f>
        <v>343.29999999999995</v>
      </c>
      <c r="T4" s="102">
        <f>Лист3!N44</f>
        <v>373.1</v>
      </c>
      <c r="U4" s="103">
        <f>T4-S4</f>
        <v>29.800000000000068</v>
      </c>
      <c r="V4" s="101">
        <f>Лист3!E47</f>
        <v>48.8</v>
      </c>
      <c r="W4" s="102">
        <f>Лист3!G47</f>
        <v>15.599999999999994</v>
      </c>
      <c r="X4" s="103">
        <f>W4-V4</f>
        <v>-33.200000000000003</v>
      </c>
      <c r="Y4" s="101">
        <f>Лист3!E51</f>
        <v>21.799999999999997</v>
      </c>
      <c r="Z4" s="102">
        <f>Лист3!G51</f>
        <v>55.8</v>
      </c>
      <c r="AA4" s="103">
        <f>Z4-Y4</f>
        <v>34</v>
      </c>
    </row>
  </sheetData>
  <mergeCells count="31">
    <mergeCell ref="Y2:Y3"/>
    <mergeCell ref="Z2:Z3"/>
    <mergeCell ref="AA2:AA3"/>
    <mergeCell ref="V2:V3"/>
    <mergeCell ref="W2:W3"/>
    <mergeCell ref="X2:X3"/>
    <mergeCell ref="U2:U3"/>
    <mergeCell ref="S1:U1"/>
    <mergeCell ref="V1:X1"/>
    <mergeCell ref="Y1:AA1"/>
    <mergeCell ref="D2:D3"/>
    <mergeCell ref="G2:G3"/>
    <mergeCell ref="H2:H3"/>
    <mergeCell ref="I2:I3"/>
    <mergeCell ref="J2:J3"/>
    <mergeCell ref="K2:K3"/>
    <mergeCell ref="P1:R1"/>
    <mergeCell ref="P2:P3"/>
    <mergeCell ref="Q2:Q3"/>
    <mergeCell ref="R2:R3"/>
    <mergeCell ref="S2:S3"/>
    <mergeCell ref="T2:T3"/>
    <mergeCell ref="A1:A3"/>
    <mergeCell ref="B1:F1"/>
    <mergeCell ref="G1:I1"/>
    <mergeCell ref="J1:L1"/>
    <mergeCell ref="M1:O1"/>
    <mergeCell ref="L2:L3"/>
    <mergeCell ref="M2:M3"/>
    <mergeCell ref="N2:N3"/>
    <mergeCell ref="O2:O3"/>
  </mergeCells>
  <conditionalFormatting sqref="AA4 I4 L4 O4 R4 E4">
    <cfRule type="cellIs" dxfId="2" priority="1" stopIfTrue="1" operator="lessThan">
      <formula>0</formula>
    </cfRule>
  </conditionalFormatting>
  <conditionalFormatting sqref="U4 X4">
    <cfRule type="cellIs" dxfId="1" priority="2" stopIfTrue="1" operator="greaterThan">
      <formula>0</formula>
    </cfRule>
  </conditionalFormatting>
  <conditionalFormatting sqref="F4">
    <cfRule type="cellIs" dxfId="0" priority="3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S76"/>
  <sheetViews>
    <sheetView workbookViewId="0">
      <selection activeCell="B1" sqref="B1:T65"/>
    </sheetView>
  </sheetViews>
  <sheetFormatPr defaultColWidth="30.85546875" defaultRowHeight="11.25" x14ac:dyDescent="0.2"/>
  <cols>
    <col min="1" max="1" width="4" style="60" customWidth="1"/>
    <col min="2" max="2" width="44.28515625" style="60" customWidth="1"/>
    <col min="3" max="3" width="8.42578125" style="60" customWidth="1"/>
    <col min="4" max="7" width="6.140625" style="60" customWidth="1"/>
    <col min="8" max="9" width="5.7109375" style="60" customWidth="1"/>
    <col min="10" max="10" width="6.28515625" style="60" customWidth="1"/>
    <col min="11" max="11" width="7" style="60" customWidth="1"/>
    <col min="12" max="12" width="8.5703125" style="60" customWidth="1"/>
    <col min="13" max="13" width="6.28515625" style="60" customWidth="1"/>
    <col min="14" max="14" width="7" style="60" customWidth="1"/>
    <col min="15" max="17" width="8.140625" style="60" customWidth="1"/>
    <col min="18" max="19" width="5.7109375" style="60" customWidth="1"/>
    <col min="20" max="20" width="7.85546875" style="60" customWidth="1"/>
    <col min="21" max="25" width="4.28515625" style="60" customWidth="1"/>
    <col min="26" max="28" width="4.28515625" style="60" hidden="1" customWidth="1"/>
    <col min="29" max="29" width="30.85546875" style="60" hidden="1" customWidth="1"/>
    <col min="30" max="35" width="4.28515625" style="60" hidden="1" customWidth="1"/>
    <col min="36" max="253" width="30.85546875" style="60" hidden="1" customWidth="1"/>
    <col min="254" max="254" width="9.140625" style="60" customWidth="1"/>
    <col min="255" max="16384" width="30.85546875" style="60"/>
  </cols>
  <sheetData>
    <row r="1" spans="1:25" ht="12.75" x14ac:dyDescent="0.2">
      <c r="A1" s="59">
        <v>0</v>
      </c>
      <c r="B1" s="1" t="s">
        <v>122</v>
      </c>
      <c r="C1" s="2"/>
      <c r="D1" s="3"/>
      <c r="E1" s="4"/>
      <c r="F1" s="157" t="s">
        <v>21</v>
      </c>
      <c r="G1" s="157"/>
      <c r="H1" s="157"/>
      <c r="I1" s="157"/>
      <c r="J1" s="158" t="s">
        <v>22</v>
      </c>
      <c r="K1" s="158"/>
      <c r="L1" s="158" t="s">
        <v>23</v>
      </c>
      <c r="M1" s="158"/>
      <c r="N1" s="157" t="s">
        <v>24</v>
      </c>
      <c r="O1" s="157"/>
      <c r="P1" s="157"/>
      <c r="Q1" s="157"/>
      <c r="R1" s="158" t="s">
        <v>22</v>
      </c>
      <c r="S1" s="158"/>
      <c r="T1" s="116" t="s">
        <v>23</v>
      </c>
      <c r="Y1" s="61">
        <v>3</v>
      </c>
    </row>
    <row r="2" spans="1:25" x14ac:dyDescent="0.2">
      <c r="A2" s="3"/>
      <c r="B2" s="5"/>
      <c r="C2" s="6" t="s">
        <v>23</v>
      </c>
      <c r="D2" s="7" t="s">
        <v>25</v>
      </c>
      <c r="E2" s="4"/>
      <c r="F2" s="137" t="s">
        <v>26</v>
      </c>
      <c r="G2" s="137"/>
      <c r="H2" s="137"/>
      <c r="I2" s="137"/>
      <c r="J2" s="138">
        <v>18</v>
      </c>
      <c r="K2" s="138"/>
      <c r="L2" s="148">
        <v>114.65718</v>
      </c>
      <c r="M2" s="148"/>
      <c r="N2" s="141" t="s">
        <v>27</v>
      </c>
      <c r="O2" s="141"/>
      <c r="P2" s="144" t="s">
        <v>28</v>
      </c>
      <c r="Q2" s="144"/>
      <c r="R2" s="136"/>
      <c r="S2" s="136"/>
      <c r="T2" s="8"/>
    </row>
    <row r="3" spans="1:25" x14ac:dyDescent="0.2">
      <c r="A3" s="3"/>
      <c r="B3" s="9" t="s">
        <v>29</v>
      </c>
      <c r="C3" s="10">
        <v>16736</v>
      </c>
      <c r="D3" s="3"/>
      <c r="E3" s="4"/>
      <c r="F3" s="141" t="s">
        <v>30</v>
      </c>
      <c r="G3" s="141"/>
      <c r="H3" s="141"/>
      <c r="I3" s="141"/>
      <c r="J3" s="142">
        <v>9</v>
      </c>
      <c r="K3" s="142"/>
      <c r="L3" s="143">
        <v>41.496600000000001</v>
      </c>
      <c r="M3" s="143"/>
      <c r="N3" s="141"/>
      <c r="O3" s="141"/>
      <c r="P3" s="145" t="s">
        <v>31</v>
      </c>
      <c r="Q3" s="145"/>
      <c r="R3" s="146"/>
      <c r="S3" s="146"/>
      <c r="T3" s="146"/>
    </row>
    <row r="4" spans="1:25" x14ac:dyDescent="0.2">
      <c r="A4" s="3"/>
      <c r="B4" s="9" t="s">
        <v>32</v>
      </c>
      <c r="C4" s="10">
        <v>16736</v>
      </c>
      <c r="D4" s="3"/>
      <c r="E4" s="4"/>
      <c r="F4" s="141" t="s">
        <v>33</v>
      </c>
      <c r="G4" s="141"/>
      <c r="H4" s="141"/>
      <c r="I4" s="141"/>
      <c r="J4" s="142">
        <v>3</v>
      </c>
      <c r="K4" s="142"/>
      <c r="L4" s="143">
        <v>45.496899999999997</v>
      </c>
      <c r="M4" s="143"/>
      <c r="N4" s="141"/>
      <c r="O4" s="141"/>
      <c r="P4" s="147" t="s">
        <v>34</v>
      </c>
      <c r="Q4" s="147"/>
      <c r="R4" s="136"/>
      <c r="S4" s="136"/>
      <c r="T4" s="8"/>
    </row>
    <row r="5" spans="1:25" x14ac:dyDescent="0.2">
      <c r="A5" s="3"/>
      <c r="B5" s="9" t="s">
        <v>35</v>
      </c>
      <c r="C5" s="10">
        <v>16686.5</v>
      </c>
      <c r="D5" s="11">
        <v>332.29820000000001</v>
      </c>
      <c r="E5" s="4"/>
      <c r="F5" s="141" t="s">
        <v>36</v>
      </c>
      <c r="G5" s="141"/>
      <c r="H5" s="141"/>
      <c r="I5" s="141"/>
      <c r="J5" s="142">
        <v>2</v>
      </c>
      <c r="K5" s="142"/>
      <c r="L5" s="143">
        <v>12.7</v>
      </c>
      <c r="M5" s="143"/>
      <c r="N5" s="141"/>
      <c r="O5" s="141"/>
      <c r="P5" s="139" t="s">
        <v>31</v>
      </c>
      <c r="Q5" s="139"/>
      <c r="R5" s="140"/>
      <c r="S5" s="140"/>
      <c r="T5" s="140"/>
    </row>
    <row r="6" spans="1:25" x14ac:dyDescent="0.2">
      <c r="A6" s="3"/>
      <c r="B6" s="9" t="s">
        <v>37</v>
      </c>
      <c r="C6" s="10">
        <f>F56</f>
        <v>16690.2</v>
      </c>
      <c r="D6" s="11">
        <v>332.83850000000001</v>
      </c>
      <c r="E6" s="4"/>
      <c r="F6" s="141" t="s">
        <v>38</v>
      </c>
      <c r="G6" s="141"/>
      <c r="H6" s="141"/>
      <c r="I6" s="141"/>
      <c r="J6" s="142">
        <v>4</v>
      </c>
      <c r="K6" s="142"/>
      <c r="L6" s="143">
        <v>14.96368</v>
      </c>
      <c r="M6" s="143"/>
      <c r="N6" s="141" t="s">
        <v>39</v>
      </c>
      <c r="O6" s="141"/>
      <c r="P6" s="144" t="s">
        <v>28</v>
      </c>
      <c r="Q6" s="144"/>
      <c r="R6" s="136"/>
      <c r="S6" s="136"/>
      <c r="T6" s="114"/>
    </row>
    <row r="7" spans="1:25" x14ac:dyDescent="0.2">
      <c r="A7" s="3"/>
      <c r="B7" s="9" t="s">
        <v>40</v>
      </c>
      <c r="C7" s="10">
        <v>16702</v>
      </c>
      <c r="D7" s="11">
        <v>333.17099999999999</v>
      </c>
      <c r="E7" s="4"/>
      <c r="F7" s="137" t="s">
        <v>41</v>
      </c>
      <c r="G7" s="137"/>
      <c r="H7" s="137"/>
      <c r="I7" s="137"/>
      <c r="J7" s="138">
        <v>30</v>
      </c>
      <c r="K7" s="138"/>
      <c r="L7" s="138">
        <v>-62.250489999999999</v>
      </c>
      <c r="M7" s="138"/>
      <c r="N7" s="141"/>
      <c r="O7" s="141"/>
      <c r="P7" s="145" t="s">
        <v>42</v>
      </c>
      <c r="Q7" s="145"/>
      <c r="R7" s="146"/>
      <c r="S7" s="146"/>
      <c r="T7" s="146"/>
    </row>
    <row r="8" spans="1:25" x14ac:dyDescent="0.2">
      <c r="A8" s="3"/>
      <c r="B8" s="9" t="s">
        <v>43</v>
      </c>
      <c r="C8" s="10">
        <f t="shared" ref="C8:D8" si="0">C7-C6</f>
        <v>11.799999999999272</v>
      </c>
      <c r="D8" s="11">
        <f t="shared" si="0"/>
        <v>0.33249999999998181</v>
      </c>
      <c r="E8" s="4"/>
      <c r="F8" s="141" t="s">
        <v>44</v>
      </c>
      <c r="G8" s="141"/>
      <c r="H8" s="141"/>
      <c r="I8" s="141"/>
      <c r="J8" s="142">
        <v>0</v>
      </c>
      <c r="K8" s="142"/>
      <c r="L8" s="142"/>
      <c r="M8" s="142"/>
      <c r="N8" s="141"/>
      <c r="O8" s="141"/>
      <c r="P8" s="147" t="s">
        <v>34</v>
      </c>
      <c r="Q8" s="147"/>
      <c r="R8" s="136"/>
      <c r="S8" s="136"/>
      <c r="T8" s="114"/>
    </row>
    <row r="9" spans="1:25" x14ac:dyDescent="0.2">
      <c r="A9" s="3"/>
      <c r="B9" s="9" t="s">
        <v>45</v>
      </c>
      <c r="C9" s="10">
        <f t="shared" ref="C9:D9" si="1">C7-C5</f>
        <v>15.5</v>
      </c>
      <c r="D9" s="11">
        <f t="shared" si="1"/>
        <v>0.87279999999998381</v>
      </c>
      <c r="E9" s="4"/>
      <c r="F9" s="137" t="s">
        <v>46</v>
      </c>
      <c r="G9" s="137"/>
      <c r="H9" s="137"/>
      <c r="I9" s="137"/>
      <c r="J9" s="138">
        <v>8</v>
      </c>
      <c r="K9" s="138"/>
      <c r="L9" s="138">
        <v>55.655999999999999</v>
      </c>
      <c r="M9" s="138"/>
      <c r="N9" s="141"/>
      <c r="O9" s="141"/>
      <c r="P9" s="139" t="s">
        <v>42</v>
      </c>
      <c r="Q9" s="139"/>
      <c r="R9" s="140"/>
      <c r="S9" s="140"/>
      <c r="T9" s="140"/>
    </row>
    <row r="10" spans="1:25" ht="12" thickBot="1" x14ac:dyDescent="0.25">
      <c r="A10" s="3"/>
      <c r="B10" s="12"/>
      <c r="C10" s="12"/>
      <c r="D10" s="12"/>
      <c r="E10" s="12"/>
      <c r="F10" s="13">
        <f>D8-D6</f>
        <v>-332.50600000000003</v>
      </c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4"/>
      <c r="T10" s="14"/>
    </row>
    <row r="11" spans="1:25" ht="15" customHeight="1" x14ac:dyDescent="0.2">
      <c r="A11" s="3"/>
      <c r="B11" s="152" t="s">
        <v>47</v>
      </c>
      <c r="C11" s="153"/>
      <c r="D11" s="131" t="s">
        <v>48</v>
      </c>
      <c r="E11" s="132"/>
      <c r="F11" s="132"/>
      <c r="G11" s="132"/>
      <c r="H11" s="132"/>
      <c r="I11" s="133"/>
      <c r="J11" s="131" t="s">
        <v>49</v>
      </c>
      <c r="K11" s="132"/>
      <c r="L11" s="132"/>
      <c r="M11" s="132"/>
      <c r="N11" s="132"/>
      <c r="O11" s="132"/>
      <c r="P11" s="132"/>
      <c r="Q11" s="132"/>
      <c r="R11" s="132"/>
      <c r="S11" s="132"/>
      <c r="T11" s="133"/>
      <c r="U11" s="62"/>
    </row>
    <row r="12" spans="1:25" x14ac:dyDescent="0.2">
      <c r="A12" s="3"/>
      <c r="B12" s="154"/>
      <c r="C12" s="155"/>
      <c r="D12" s="134" t="s">
        <v>14</v>
      </c>
      <c r="E12" s="134"/>
      <c r="F12" s="134" t="s">
        <v>11</v>
      </c>
      <c r="G12" s="134"/>
      <c r="H12" s="135" t="s">
        <v>50</v>
      </c>
      <c r="I12" s="135"/>
      <c r="J12" s="134" t="s">
        <v>14</v>
      </c>
      <c r="K12" s="134"/>
      <c r="L12" s="134"/>
      <c r="M12" s="134" t="s">
        <v>11</v>
      </c>
      <c r="N12" s="134"/>
      <c r="O12" s="134"/>
      <c r="P12" s="134" t="s">
        <v>51</v>
      </c>
      <c r="Q12" s="134"/>
      <c r="R12" s="135" t="s">
        <v>50</v>
      </c>
      <c r="S12" s="135"/>
      <c r="T12" s="135"/>
    </row>
    <row r="13" spans="1:25" ht="22.5" x14ac:dyDescent="0.2">
      <c r="A13" s="3"/>
      <c r="B13" s="154"/>
      <c r="C13" s="155"/>
      <c r="D13" s="15" t="s">
        <v>52</v>
      </c>
      <c r="E13" s="15" t="s">
        <v>53</v>
      </c>
      <c r="F13" s="15" t="s">
        <v>52</v>
      </c>
      <c r="G13" s="15" t="s">
        <v>53</v>
      </c>
      <c r="H13" s="16" t="s">
        <v>54</v>
      </c>
      <c r="I13" s="16" t="s">
        <v>55</v>
      </c>
      <c r="J13" s="15" t="s">
        <v>52</v>
      </c>
      <c r="K13" s="15" t="s">
        <v>53</v>
      </c>
      <c r="L13" s="112" t="s">
        <v>56</v>
      </c>
      <c r="M13" s="15" t="s">
        <v>52</v>
      </c>
      <c r="N13" s="15" t="s">
        <v>53</v>
      </c>
      <c r="O13" s="112" t="s">
        <v>56</v>
      </c>
      <c r="P13" s="15" t="s">
        <v>52</v>
      </c>
      <c r="Q13" s="15" t="s">
        <v>53</v>
      </c>
      <c r="R13" s="16" t="s">
        <v>54</v>
      </c>
      <c r="S13" s="16" t="s">
        <v>55</v>
      </c>
      <c r="T13" s="113" t="s">
        <v>57</v>
      </c>
    </row>
    <row r="14" spans="1:25" x14ac:dyDescent="0.2">
      <c r="A14" s="3"/>
      <c r="B14" s="17" t="s">
        <v>58</v>
      </c>
      <c r="C14" s="18"/>
      <c r="D14" s="156">
        <v>16736</v>
      </c>
      <c r="E14" s="156"/>
      <c r="F14" s="156">
        <v>16736</v>
      </c>
      <c r="G14" s="156"/>
      <c r="H14" s="19"/>
      <c r="I14" s="19">
        <f>F14-D14</f>
        <v>0</v>
      </c>
      <c r="J14" s="20"/>
      <c r="K14" s="20"/>
      <c r="L14" s="20">
        <v>334720</v>
      </c>
      <c r="M14" s="20"/>
      <c r="N14" s="20"/>
      <c r="O14" s="20">
        <v>334720</v>
      </c>
      <c r="P14" s="20"/>
      <c r="Q14" s="20"/>
      <c r="R14" s="19"/>
      <c r="S14" s="19"/>
      <c r="T14" s="19">
        <f t="shared" ref="T14:T49" si="2">O14-L14</f>
        <v>0</v>
      </c>
      <c r="U14" s="63"/>
    </row>
    <row r="15" spans="1:25" x14ac:dyDescent="0.2">
      <c r="A15" s="3"/>
      <c r="B15" s="17" t="s">
        <v>59</v>
      </c>
      <c r="C15" s="18"/>
      <c r="D15" s="20">
        <v>4</v>
      </c>
      <c r="E15" s="20">
        <v>5.3</v>
      </c>
      <c r="F15" s="20">
        <v>5</v>
      </c>
      <c r="G15" s="20">
        <v>15.8</v>
      </c>
      <c r="H15" s="19">
        <f t="shared" ref="H15:I41" si="3">F15-D15</f>
        <v>1</v>
      </c>
      <c r="I15" s="19">
        <f t="shared" si="3"/>
        <v>10.5</v>
      </c>
      <c r="J15" s="20">
        <v>78</v>
      </c>
      <c r="K15" s="20">
        <v>279.60000000000002</v>
      </c>
      <c r="L15" s="20">
        <v>3373.9</v>
      </c>
      <c r="M15" s="20">
        <v>89</v>
      </c>
      <c r="N15" s="20">
        <v>288.7</v>
      </c>
      <c r="O15" s="20">
        <v>3207.2</v>
      </c>
      <c r="P15" s="20"/>
      <c r="Q15" s="20"/>
      <c r="R15" s="19">
        <f t="shared" ref="R15:S41" si="4">M15-J15</f>
        <v>11</v>
      </c>
      <c r="S15" s="19">
        <f t="shared" si="4"/>
        <v>9.0999999999999659</v>
      </c>
      <c r="T15" s="19">
        <f t="shared" si="2"/>
        <v>-166.70000000000027</v>
      </c>
      <c r="U15" s="63"/>
    </row>
    <row r="16" spans="1:25" x14ac:dyDescent="0.2">
      <c r="A16" s="3"/>
      <c r="B16" s="17" t="s">
        <v>60</v>
      </c>
      <c r="C16" s="18"/>
      <c r="D16" s="21">
        <v>0</v>
      </c>
      <c r="E16" s="21">
        <v>0</v>
      </c>
      <c r="F16" s="21">
        <v>0</v>
      </c>
      <c r="G16" s="21">
        <v>0</v>
      </c>
      <c r="H16" s="19">
        <f t="shared" si="3"/>
        <v>0</v>
      </c>
      <c r="I16" s="19">
        <f t="shared" si="3"/>
        <v>0</v>
      </c>
      <c r="J16" s="21">
        <v>1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/>
      <c r="Q16" s="21"/>
      <c r="R16" s="19">
        <f t="shared" si="4"/>
        <v>-1</v>
      </c>
      <c r="S16" s="19">
        <f t="shared" si="4"/>
        <v>0</v>
      </c>
      <c r="T16" s="19">
        <f t="shared" si="2"/>
        <v>0</v>
      </c>
      <c r="U16" s="63"/>
    </row>
    <row r="17" spans="1:21" x14ac:dyDescent="0.2">
      <c r="A17" s="3"/>
      <c r="B17" s="17" t="s">
        <v>61</v>
      </c>
      <c r="C17" s="18"/>
      <c r="D17" s="20">
        <f t="shared" ref="D17:G17" si="5">D18+D26</f>
        <v>6</v>
      </c>
      <c r="E17" s="20">
        <f t="shared" si="5"/>
        <v>65.5</v>
      </c>
      <c r="F17" s="20">
        <f t="shared" si="5"/>
        <v>4</v>
      </c>
      <c r="G17" s="20">
        <f t="shared" si="5"/>
        <v>25.599999999999998</v>
      </c>
      <c r="H17" s="19">
        <f t="shared" si="3"/>
        <v>-2</v>
      </c>
      <c r="I17" s="19">
        <f t="shared" si="3"/>
        <v>-39.900000000000006</v>
      </c>
      <c r="J17" s="20">
        <f t="shared" ref="J17:O17" si="6">J18+J26</f>
        <v>96</v>
      </c>
      <c r="K17" s="20">
        <f t="shared" si="6"/>
        <v>688.19999999999993</v>
      </c>
      <c r="L17" s="20">
        <f t="shared" si="6"/>
        <v>6063.8</v>
      </c>
      <c r="M17" s="20">
        <f t="shared" si="6"/>
        <v>91</v>
      </c>
      <c r="N17" s="20">
        <f t="shared" si="6"/>
        <v>652.5</v>
      </c>
      <c r="O17" s="20">
        <f t="shared" si="6"/>
        <v>5766.8</v>
      </c>
      <c r="P17" s="20">
        <v>29</v>
      </c>
      <c r="Q17" s="20">
        <v>187</v>
      </c>
      <c r="R17" s="19">
        <f t="shared" si="4"/>
        <v>-5</v>
      </c>
      <c r="S17" s="19">
        <f t="shared" si="4"/>
        <v>-35.699999999999932</v>
      </c>
      <c r="T17" s="19">
        <f t="shared" si="2"/>
        <v>-297</v>
      </c>
      <c r="U17" s="63"/>
    </row>
    <row r="18" spans="1:21" x14ac:dyDescent="0.2">
      <c r="A18" s="3"/>
      <c r="B18" s="17" t="s">
        <v>62</v>
      </c>
      <c r="C18" s="18"/>
      <c r="D18" s="20">
        <f t="shared" ref="D18:G18" si="7">SUM(D19:D25)</f>
        <v>2</v>
      </c>
      <c r="E18" s="20">
        <f t="shared" si="7"/>
        <v>43.2</v>
      </c>
      <c r="F18" s="20">
        <f t="shared" si="7"/>
        <v>2</v>
      </c>
      <c r="G18" s="20">
        <f t="shared" si="7"/>
        <v>18.299999999999997</v>
      </c>
      <c r="H18" s="19">
        <f t="shared" si="3"/>
        <v>0</v>
      </c>
      <c r="I18" s="19">
        <f t="shared" si="3"/>
        <v>-24.900000000000006</v>
      </c>
      <c r="J18" s="20">
        <f t="shared" ref="J18:O18" si="8">SUM(J19:J25)</f>
        <v>23</v>
      </c>
      <c r="K18" s="20">
        <f t="shared" si="8"/>
        <v>205.4</v>
      </c>
      <c r="L18" s="20">
        <f t="shared" si="8"/>
        <v>1287.8</v>
      </c>
      <c r="M18" s="20">
        <f t="shared" si="8"/>
        <v>23</v>
      </c>
      <c r="N18" s="20">
        <f t="shared" si="8"/>
        <v>173.79999999999998</v>
      </c>
      <c r="O18" s="20">
        <f t="shared" si="8"/>
        <v>1081.3</v>
      </c>
      <c r="P18" s="20">
        <v>8</v>
      </c>
      <c r="Q18" s="20">
        <v>79</v>
      </c>
      <c r="R18" s="19">
        <f t="shared" si="4"/>
        <v>0</v>
      </c>
      <c r="S18" s="19">
        <f t="shared" si="4"/>
        <v>-31.600000000000023</v>
      </c>
      <c r="T18" s="19">
        <f t="shared" si="2"/>
        <v>-206.5</v>
      </c>
      <c r="U18" s="63"/>
    </row>
    <row r="19" spans="1:21" x14ac:dyDescent="0.2">
      <c r="A19" s="3"/>
      <c r="B19" s="17" t="s">
        <v>63</v>
      </c>
      <c r="C19" s="18"/>
      <c r="D19" s="21">
        <v>0</v>
      </c>
      <c r="E19" s="21">
        <v>0</v>
      </c>
      <c r="F19" s="21">
        <v>0</v>
      </c>
      <c r="G19" s="21">
        <v>0</v>
      </c>
      <c r="H19" s="19">
        <f t="shared" si="3"/>
        <v>0</v>
      </c>
      <c r="I19" s="19">
        <f t="shared" si="3"/>
        <v>0</v>
      </c>
      <c r="J19" s="21">
        <v>3</v>
      </c>
      <c r="K19" s="21">
        <v>47</v>
      </c>
      <c r="L19" s="21">
        <v>190</v>
      </c>
      <c r="M19" s="21">
        <v>4</v>
      </c>
      <c r="N19" s="21">
        <v>74.8</v>
      </c>
      <c r="O19" s="21">
        <v>366.9</v>
      </c>
      <c r="P19" s="21">
        <v>0</v>
      </c>
      <c r="Q19" s="21"/>
      <c r="R19" s="19">
        <f t="shared" si="4"/>
        <v>1</v>
      </c>
      <c r="S19" s="19">
        <f t="shared" si="4"/>
        <v>27.799999999999997</v>
      </c>
      <c r="T19" s="19">
        <f t="shared" si="2"/>
        <v>176.89999999999998</v>
      </c>
      <c r="U19" s="63"/>
    </row>
    <row r="20" spans="1:21" x14ac:dyDescent="0.2">
      <c r="A20" s="3"/>
      <c r="B20" s="17" t="s">
        <v>64</v>
      </c>
      <c r="C20" s="18"/>
      <c r="D20" s="21">
        <v>0</v>
      </c>
      <c r="E20" s="21">
        <v>0</v>
      </c>
      <c r="F20" s="21">
        <v>0</v>
      </c>
      <c r="G20" s="21">
        <v>0</v>
      </c>
      <c r="H20" s="19">
        <f t="shared" si="3"/>
        <v>0</v>
      </c>
      <c r="I20" s="19">
        <f t="shared" si="3"/>
        <v>0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  <c r="P20" s="21">
        <v>1</v>
      </c>
      <c r="Q20" s="21">
        <v>35</v>
      </c>
      <c r="R20" s="19">
        <f t="shared" si="4"/>
        <v>0</v>
      </c>
      <c r="S20" s="19">
        <f t="shared" si="4"/>
        <v>0</v>
      </c>
      <c r="T20" s="19">
        <f t="shared" si="2"/>
        <v>0</v>
      </c>
      <c r="U20" s="63"/>
    </row>
    <row r="21" spans="1:21" x14ac:dyDescent="0.2">
      <c r="A21" s="3"/>
      <c r="B21" s="17" t="s">
        <v>65</v>
      </c>
      <c r="C21" s="18"/>
      <c r="D21" s="21">
        <v>0</v>
      </c>
      <c r="E21" s="21">
        <v>0</v>
      </c>
      <c r="F21" s="21">
        <v>1</v>
      </c>
      <c r="G21" s="21">
        <v>13.7</v>
      </c>
      <c r="H21" s="19">
        <f t="shared" si="3"/>
        <v>1</v>
      </c>
      <c r="I21" s="19">
        <f t="shared" si="3"/>
        <v>13.7</v>
      </c>
      <c r="J21" s="21">
        <v>3</v>
      </c>
      <c r="K21" s="21">
        <v>52</v>
      </c>
      <c r="L21" s="21">
        <v>455</v>
      </c>
      <c r="M21" s="21">
        <v>3</v>
      </c>
      <c r="N21" s="21">
        <v>44.4</v>
      </c>
      <c r="O21" s="21">
        <v>240.9</v>
      </c>
      <c r="P21" s="21">
        <v>1</v>
      </c>
      <c r="Q21" s="21">
        <v>20</v>
      </c>
      <c r="R21" s="19">
        <f t="shared" si="4"/>
        <v>0</v>
      </c>
      <c r="S21" s="19">
        <f t="shared" si="4"/>
        <v>-7.6000000000000014</v>
      </c>
      <c r="T21" s="19">
        <f t="shared" si="2"/>
        <v>-214.1</v>
      </c>
      <c r="U21" s="63"/>
    </row>
    <row r="22" spans="1:21" x14ac:dyDescent="0.2">
      <c r="A22" s="3"/>
      <c r="B22" s="17" t="s">
        <v>66</v>
      </c>
      <c r="C22" s="18"/>
      <c r="D22" s="21">
        <v>0</v>
      </c>
      <c r="E22" s="21">
        <v>0</v>
      </c>
      <c r="F22" s="21"/>
      <c r="G22" s="21"/>
      <c r="H22" s="19">
        <f t="shared" si="3"/>
        <v>0</v>
      </c>
      <c r="I22" s="19">
        <f t="shared" si="3"/>
        <v>0</v>
      </c>
      <c r="J22" s="21">
        <v>0</v>
      </c>
      <c r="K22" s="21">
        <v>0</v>
      </c>
      <c r="L22" s="21">
        <v>0</v>
      </c>
      <c r="M22" s="21"/>
      <c r="N22" s="21"/>
      <c r="O22" s="21"/>
      <c r="P22" s="21">
        <v>0</v>
      </c>
      <c r="Q22" s="21"/>
      <c r="R22" s="19">
        <f t="shared" si="4"/>
        <v>0</v>
      </c>
      <c r="S22" s="19">
        <f t="shared" si="4"/>
        <v>0</v>
      </c>
      <c r="T22" s="19">
        <f t="shared" si="2"/>
        <v>0</v>
      </c>
      <c r="U22" s="63"/>
    </row>
    <row r="23" spans="1:21" x14ac:dyDescent="0.2">
      <c r="A23" s="3"/>
      <c r="B23" s="17" t="s">
        <v>67</v>
      </c>
      <c r="C23" s="18"/>
      <c r="D23" s="21">
        <v>0</v>
      </c>
      <c r="E23" s="21">
        <v>0</v>
      </c>
      <c r="F23" s="21">
        <v>0</v>
      </c>
      <c r="G23" s="21">
        <v>0</v>
      </c>
      <c r="H23" s="19">
        <f t="shared" si="3"/>
        <v>0</v>
      </c>
      <c r="I23" s="19">
        <f t="shared" si="3"/>
        <v>0</v>
      </c>
      <c r="J23" s="21">
        <v>0</v>
      </c>
      <c r="K23" s="21">
        <v>0</v>
      </c>
      <c r="L23" s="21">
        <v>0</v>
      </c>
      <c r="M23" s="21">
        <v>0</v>
      </c>
      <c r="N23" s="21">
        <v>0</v>
      </c>
      <c r="O23" s="21">
        <v>0</v>
      </c>
      <c r="P23" s="21">
        <v>0</v>
      </c>
      <c r="Q23" s="21"/>
      <c r="R23" s="19">
        <f t="shared" si="4"/>
        <v>0</v>
      </c>
      <c r="S23" s="19">
        <f t="shared" si="4"/>
        <v>0</v>
      </c>
      <c r="T23" s="19">
        <f t="shared" si="2"/>
        <v>0</v>
      </c>
      <c r="U23" s="63"/>
    </row>
    <row r="24" spans="1:21" x14ac:dyDescent="0.2">
      <c r="A24" s="3"/>
      <c r="B24" s="17" t="s">
        <v>68</v>
      </c>
      <c r="C24" s="18"/>
      <c r="D24" s="21">
        <v>2</v>
      </c>
      <c r="E24" s="21">
        <v>43.2</v>
      </c>
      <c r="F24" s="21">
        <v>1</v>
      </c>
      <c r="G24" s="21">
        <v>4.5999999999999996</v>
      </c>
      <c r="H24" s="19">
        <f t="shared" si="3"/>
        <v>-1</v>
      </c>
      <c r="I24" s="19">
        <f t="shared" si="3"/>
        <v>-38.6</v>
      </c>
      <c r="J24" s="21">
        <v>16</v>
      </c>
      <c r="K24" s="21">
        <v>104.1</v>
      </c>
      <c r="L24" s="21">
        <v>615.20000000000005</v>
      </c>
      <c r="M24" s="21">
        <v>15</v>
      </c>
      <c r="N24" s="21">
        <v>52</v>
      </c>
      <c r="O24" s="21">
        <v>465.7</v>
      </c>
      <c r="P24" s="21">
        <v>6</v>
      </c>
      <c r="Q24" s="21">
        <v>24</v>
      </c>
      <c r="R24" s="19">
        <f t="shared" si="4"/>
        <v>-1</v>
      </c>
      <c r="S24" s="19">
        <f t="shared" si="4"/>
        <v>-52.099999999999994</v>
      </c>
      <c r="T24" s="19">
        <f t="shared" si="2"/>
        <v>-149.50000000000006</v>
      </c>
      <c r="U24" s="63"/>
    </row>
    <row r="25" spans="1:21" x14ac:dyDescent="0.2">
      <c r="A25" s="3"/>
      <c r="B25" s="17" t="s">
        <v>69</v>
      </c>
      <c r="C25" s="18"/>
      <c r="D25" s="21">
        <v>0</v>
      </c>
      <c r="E25" s="21">
        <v>0</v>
      </c>
      <c r="F25" s="21">
        <v>0</v>
      </c>
      <c r="G25" s="21">
        <v>0</v>
      </c>
      <c r="H25" s="19">
        <f t="shared" si="3"/>
        <v>0</v>
      </c>
      <c r="I25" s="19">
        <f t="shared" si="3"/>
        <v>0</v>
      </c>
      <c r="J25" s="21">
        <v>1</v>
      </c>
      <c r="K25" s="21">
        <v>2.2999999999999998</v>
      </c>
      <c r="L25" s="21">
        <v>27.6</v>
      </c>
      <c r="M25" s="21">
        <v>1</v>
      </c>
      <c r="N25" s="21">
        <v>2.6</v>
      </c>
      <c r="O25" s="21">
        <v>7.8</v>
      </c>
      <c r="P25" s="21">
        <v>0</v>
      </c>
      <c r="Q25" s="21"/>
      <c r="R25" s="19">
        <f t="shared" si="4"/>
        <v>0</v>
      </c>
      <c r="S25" s="19">
        <f t="shared" si="4"/>
        <v>0.30000000000000027</v>
      </c>
      <c r="T25" s="19">
        <f t="shared" si="2"/>
        <v>-19.8</v>
      </c>
      <c r="U25" s="63"/>
    </row>
    <row r="26" spans="1:21" x14ac:dyDescent="0.2">
      <c r="A26" s="3"/>
      <c r="B26" s="17" t="s">
        <v>70</v>
      </c>
      <c r="C26" s="18"/>
      <c r="D26" s="20">
        <f t="shared" ref="D26:G26" si="9">SUM(D27:D32)</f>
        <v>4</v>
      </c>
      <c r="E26" s="20">
        <f t="shared" si="9"/>
        <v>22.3</v>
      </c>
      <c r="F26" s="20">
        <f t="shared" si="9"/>
        <v>2</v>
      </c>
      <c r="G26" s="20">
        <f t="shared" si="9"/>
        <v>7.3</v>
      </c>
      <c r="H26" s="19">
        <f t="shared" si="3"/>
        <v>-2</v>
      </c>
      <c r="I26" s="19">
        <f t="shared" si="3"/>
        <v>-15</v>
      </c>
      <c r="J26" s="20">
        <f t="shared" ref="J26:O26" si="10">SUM(J27:J32)</f>
        <v>73</v>
      </c>
      <c r="K26" s="20">
        <f t="shared" si="10"/>
        <v>482.79999999999995</v>
      </c>
      <c r="L26" s="20">
        <f t="shared" si="10"/>
        <v>4776</v>
      </c>
      <c r="M26" s="20">
        <f t="shared" si="10"/>
        <v>68</v>
      </c>
      <c r="N26" s="20">
        <f t="shared" si="10"/>
        <v>478.7</v>
      </c>
      <c r="O26" s="20">
        <f t="shared" si="10"/>
        <v>4685.5</v>
      </c>
      <c r="P26" s="20">
        <v>21</v>
      </c>
      <c r="Q26" s="20">
        <v>109</v>
      </c>
      <c r="R26" s="19">
        <f t="shared" si="4"/>
        <v>-5</v>
      </c>
      <c r="S26" s="19">
        <f t="shared" si="4"/>
        <v>-4.0999999999999659</v>
      </c>
      <c r="T26" s="19">
        <f t="shared" si="2"/>
        <v>-90.5</v>
      </c>
      <c r="U26" s="63"/>
    </row>
    <row r="27" spans="1:21" x14ac:dyDescent="0.2">
      <c r="A27" s="3"/>
      <c r="B27" s="17" t="s">
        <v>71</v>
      </c>
      <c r="C27" s="18"/>
      <c r="D27" s="21">
        <v>0</v>
      </c>
      <c r="E27" s="21">
        <v>0</v>
      </c>
      <c r="F27" s="21">
        <v>0</v>
      </c>
      <c r="G27" s="21">
        <v>0</v>
      </c>
      <c r="H27" s="19">
        <f t="shared" si="3"/>
        <v>0</v>
      </c>
      <c r="I27" s="19">
        <f t="shared" si="3"/>
        <v>0</v>
      </c>
      <c r="J27" s="21">
        <v>1</v>
      </c>
      <c r="K27" s="21">
        <v>31.6</v>
      </c>
      <c r="L27" s="21">
        <v>410.8</v>
      </c>
      <c r="M27" s="21">
        <v>2</v>
      </c>
      <c r="N27" s="21">
        <v>51.6</v>
      </c>
      <c r="O27" s="21">
        <v>196.8</v>
      </c>
      <c r="P27" s="21">
        <v>0</v>
      </c>
      <c r="Q27" s="21"/>
      <c r="R27" s="19">
        <f t="shared" si="4"/>
        <v>1</v>
      </c>
      <c r="S27" s="19">
        <f t="shared" si="4"/>
        <v>20</v>
      </c>
      <c r="T27" s="19">
        <f t="shared" si="2"/>
        <v>-214</v>
      </c>
      <c r="U27" s="63"/>
    </row>
    <row r="28" spans="1:21" x14ac:dyDescent="0.2">
      <c r="A28" s="3"/>
      <c r="B28" s="17" t="s">
        <v>72</v>
      </c>
      <c r="C28" s="18"/>
      <c r="D28" s="21">
        <v>0</v>
      </c>
      <c r="E28" s="21">
        <v>0</v>
      </c>
      <c r="F28" s="21">
        <v>0</v>
      </c>
      <c r="G28" s="21">
        <v>0</v>
      </c>
      <c r="H28" s="19">
        <f t="shared" si="3"/>
        <v>0</v>
      </c>
      <c r="I28" s="19">
        <f t="shared" si="3"/>
        <v>0</v>
      </c>
      <c r="J28" s="21">
        <v>13</v>
      </c>
      <c r="K28" s="21">
        <v>48.4</v>
      </c>
      <c r="L28" s="21">
        <v>630.9</v>
      </c>
      <c r="M28" s="21">
        <v>12</v>
      </c>
      <c r="N28" s="21">
        <v>56.9</v>
      </c>
      <c r="O28" s="21">
        <v>884.4</v>
      </c>
      <c r="P28" s="21">
        <v>6</v>
      </c>
      <c r="Q28" s="21">
        <v>25</v>
      </c>
      <c r="R28" s="19">
        <f t="shared" si="4"/>
        <v>-1</v>
      </c>
      <c r="S28" s="19">
        <f t="shared" si="4"/>
        <v>8.5</v>
      </c>
      <c r="T28" s="19">
        <f t="shared" si="2"/>
        <v>253.5</v>
      </c>
      <c r="U28" s="63"/>
    </row>
    <row r="29" spans="1:21" x14ac:dyDescent="0.2">
      <c r="A29" s="3"/>
      <c r="B29" s="17" t="s">
        <v>73</v>
      </c>
      <c r="C29" s="18"/>
      <c r="D29" s="21">
        <v>0</v>
      </c>
      <c r="E29" s="21">
        <v>0</v>
      </c>
      <c r="F29" s="21">
        <v>0</v>
      </c>
      <c r="G29" s="21">
        <v>0</v>
      </c>
      <c r="H29" s="19">
        <f t="shared" si="3"/>
        <v>0</v>
      </c>
      <c r="I29" s="19">
        <f t="shared" si="3"/>
        <v>0</v>
      </c>
      <c r="J29" s="21">
        <v>0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1">
        <v>0</v>
      </c>
      <c r="Q29" s="21"/>
      <c r="R29" s="19">
        <f t="shared" si="4"/>
        <v>0</v>
      </c>
      <c r="S29" s="19">
        <f t="shared" si="4"/>
        <v>0</v>
      </c>
      <c r="T29" s="19">
        <f t="shared" si="2"/>
        <v>0</v>
      </c>
      <c r="U29" s="63"/>
    </row>
    <row r="30" spans="1:21" x14ac:dyDescent="0.2">
      <c r="A30" s="3"/>
      <c r="B30" s="17" t="s">
        <v>74</v>
      </c>
      <c r="C30" s="18"/>
      <c r="D30" s="21">
        <v>0</v>
      </c>
      <c r="E30" s="21">
        <v>0</v>
      </c>
      <c r="F30" s="21">
        <v>0</v>
      </c>
      <c r="G30" s="21">
        <v>0</v>
      </c>
      <c r="H30" s="19">
        <f t="shared" si="3"/>
        <v>0</v>
      </c>
      <c r="I30" s="19">
        <f t="shared" si="3"/>
        <v>0</v>
      </c>
      <c r="J30" s="21">
        <v>0</v>
      </c>
      <c r="K30" s="21">
        <v>0</v>
      </c>
      <c r="L30" s="21">
        <v>0</v>
      </c>
      <c r="M30" s="21">
        <v>0</v>
      </c>
      <c r="N30" s="21">
        <v>0</v>
      </c>
      <c r="O30" s="21">
        <v>0</v>
      </c>
      <c r="P30" s="21">
        <v>0</v>
      </c>
      <c r="Q30" s="21"/>
      <c r="R30" s="19">
        <f t="shared" si="4"/>
        <v>0</v>
      </c>
      <c r="S30" s="19">
        <f t="shared" si="4"/>
        <v>0</v>
      </c>
      <c r="T30" s="19">
        <f t="shared" si="2"/>
        <v>0</v>
      </c>
      <c r="U30" s="63"/>
    </row>
    <row r="31" spans="1:21" x14ac:dyDescent="0.2">
      <c r="A31" s="3"/>
      <c r="B31" s="17" t="s">
        <v>75</v>
      </c>
      <c r="C31" s="18"/>
      <c r="D31" s="21">
        <v>2</v>
      </c>
      <c r="E31" s="21">
        <v>10.8</v>
      </c>
      <c r="F31" s="21">
        <v>0</v>
      </c>
      <c r="G31" s="21">
        <v>0</v>
      </c>
      <c r="H31" s="19">
        <f t="shared" si="3"/>
        <v>-2</v>
      </c>
      <c r="I31" s="19">
        <f t="shared" si="3"/>
        <v>-10.8</v>
      </c>
      <c r="J31" s="21">
        <v>21</v>
      </c>
      <c r="K31" s="21">
        <v>113.6</v>
      </c>
      <c r="L31" s="21">
        <v>1237.9000000000001</v>
      </c>
      <c r="M31" s="21">
        <v>22</v>
      </c>
      <c r="N31" s="21">
        <v>126</v>
      </c>
      <c r="O31" s="21">
        <v>1291.9000000000001</v>
      </c>
      <c r="P31" s="21">
        <v>6</v>
      </c>
      <c r="Q31" s="21">
        <v>33</v>
      </c>
      <c r="R31" s="19">
        <f t="shared" si="4"/>
        <v>1</v>
      </c>
      <c r="S31" s="19">
        <f t="shared" si="4"/>
        <v>12.400000000000006</v>
      </c>
      <c r="T31" s="19">
        <f t="shared" si="2"/>
        <v>54</v>
      </c>
      <c r="U31" s="63"/>
    </row>
    <row r="32" spans="1:21" x14ac:dyDescent="0.2">
      <c r="A32" s="3"/>
      <c r="B32" s="17" t="s">
        <v>76</v>
      </c>
      <c r="C32" s="18"/>
      <c r="D32" s="21">
        <v>2</v>
      </c>
      <c r="E32" s="21">
        <v>11.5</v>
      </c>
      <c r="F32" s="21">
        <v>2</v>
      </c>
      <c r="G32" s="21">
        <v>7.3</v>
      </c>
      <c r="H32" s="19">
        <f t="shared" si="3"/>
        <v>0</v>
      </c>
      <c r="I32" s="19">
        <f t="shared" si="3"/>
        <v>-4.2</v>
      </c>
      <c r="J32" s="21">
        <v>38</v>
      </c>
      <c r="K32" s="21">
        <v>289.2</v>
      </c>
      <c r="L32" s="21">
        <v>2496.4</v>
      </c>
      <c r="M32" s="21">
        <v>32</v>
      </c>
      <c r="N32" s="21">
        <v>244.2</v>
      </c>
      <c r="O32" s="21">
        <v>2312.4</v>
      </c>
      <c r="P32" s="21">
        <v>9</v>
      </c>
      <c r="Q32" s="21">
        <v>51</v>
      </c>
      <c r="R32" s="19">
        <f t="shared" si="4"/>
        <v>-6</v>
      </c>
      <c r="S32" s="19">
        <f t="shared" si="4"/>
        <v>-45</v>
      </c>
      <c r="T32" s="19">
        <f t="shared" si="2"/>
        <v>-184</v>
      </c>
      <c r="U32" s="63"/>
    </row>
    <row r="33" spans="1:21" x14ac:dyDescent="0.2">
      <c r="A33" s="3"/>
      <c r="B33" s="22" t="s">
        <v>77</v>
      </c>
      <c r="C33" s="23"/>
      <c r="D33" s="24">
        <f t="shared" ref="D33:G33" si="11">D17-D15-D16</f>
        <v>2</v>
      </c>
      <c r="E33" s="24">
        <f t="shared" si="11"/>
        <v>60.2</v>
      </c>
      <c r="F33" s="24">
        <f t="shared" si="11"/>
        <v>-1</v>
      </c>
      <c r="G33" s="24">
        <f t="shared" si="11"/>
        <v>9.7999999999999972</v>
      </c>
      <c r="H33" s="24">
        <f t="shared" si="3"/>
        <v>-3</v>
      </c>
      <c r="I33" s="24">
        <f t="shared" si="3"/>
        <v>-50.400000000000006</v>
      </c>
      <c r="J33" s="24">
        <f t="shared" ref="J33:O33" si="12">J17-J15-J16</f>
        <v>17</v>
      </c>
      <c r="K33" s="24">
        <f t="shared" si="12"/>
        <v>408.59999999999991</v>
      </c>
      <c r="L33" s="24">
        <f t="shared" si="12"/>
        <v>2689.9</v>
      </c>
      <c r="M33" s="24">
        <f t="shared" si="12"/>
        <v>2</v>
      </c>
      <c r="N33" s="24">
        <f t="shared" si="12"/>
        <v>363.8</v>
      </c>
      <c r="O33" s="24">
        <f t="shared" si="12"/>
        <v>2559.6000000000004</v>
      </c>
      <c r="P33" s="24"/>
      <c r="Q33" s="24"/>
      <c r="R33" s="24">
        <f t="shared" si="4"/>
        <v>-15</v>
      </c>
      <c r="S33" s="24">
        <f t="shared" si="4"/>
        <v>-44.799999999999898</v>
      </c>
      <c r="T33" s="24">
        <f t="shared" si="2"/>
        <v>-130.29999999999973</v>
      </c>
      <c r="U33" s="63"/>
    </row>
    <row r="34" spans="1:21" x14ac:dyDescent="0.2">
      <c r="A34" s="3"/>
      <c r="B34" s="25" t="s">
        <v>78</v>
      </c>
      <c r="C34" s="26"/>
      <c r="D34" s="21">
        <v>0</v>
      </c>
      <c r="E34" s="21">
        <v>0</v>
      </c>
      <c r="F34" s="21">
        <v>0</v>
      </c>
      <c r="G34" s="21">
        <v>0</v>
      </c>
      <c r="H34" s="19">
        <f t="shared" si="3"/>
        <v>0</v>
      </c>
      <c r="I34" s="19">
        <f t="shared" si="3"/>
        <v>0</v>
      </c>
      <c r="J34" s="21">
        <v>0</v>
      </c>
      <c r="K34" s="21">
        <v>0</v>
      </c>
      <c r="L34" s="21">
        <v>0</v>
      </c>
      <c r="M34" s="21">
        <v>0</v>
      </c>
      <c r="N34" s="21">
        <v>0</v>
      </c>
      <c r="O34" s="21">
        <v>0</v>
      </c>
      <c r="P34" s="21"/>
      <c r="Q34" s="21"/>
      <c r="R34" s="19">
        <f t="shared" si="4"/>
        <v>0</v>
      </c>
      <c r="S34" s="19">
        <f t="shared" si="4"/>
        <v>0</v>
      </c>
      <c r="T34" s="19">
        <f t="shared" si="2"/>
        <v>0</v>
      </c>
      <c r="U34" s="63"/>
    </row>
    <row r="35" spans="1:21" x14ac:dyDescent="0.2">
      <c r="A35" s="3"/>
      <c r="B35" s="22" t="s">
        <v>79</v>
      </c>
      <c r="C35" s="23"/>
      <c r="D35" s="24">
        <f t="shared" ref="D35:G35" si="13">D33+D34</f>
        <v>2</v>
      </c>
      <c r="E35" s="24">
        <f t="shared" si="13"/>
        <v>60.2</v>
      </c>
      <c r="F35" s="24">
        <f t="shared" si="13"/>
        <v>-1</v>
      </c>
      <c r="G35" s="24">
        <f t="shared" si="13"/>
        <v>9.7999999999999972</v>
      </c>
      <c r="H35" s="24">
        <f t="shared" si="3"/>
        <v>-3</v>
      </c>
      <c r="I35" s="24">
        <f t="shared" si="3"/>
        <v>-50.400000000000006</v>
      </c>
      <c r="J35" s="24">
        <f t="shared" ref="J35:O35" si="14">J33+J34</f>
        <v>17</v>
      </c>
      <c r="K35" s="24">
        <f t="shared" si="14"/>
        <v>408.59999999999991</v>
      </c>
      <c r="L35" s="24">
        <f t="shared" si="14"/>
        <v>2689.9</v>
      </c>
      <c r="M35" s="24">
        <f t="shared" si="14"/>
        <v>2</v>
      </c>
      <c r="N35" s="24">
        <f t="shared" si="14"/>
        <v>363.8</v>
      </c>
      <c r="O35" s="24">
        <f t="shared" si="14"/>
        <v>2559.6000000000004</v>
      </c>
      <c r="P35" s="24"/>
      <c r="Q35" s="24"/>
      <c r="R35" s="24">
        <f t="shared" si="4"/>
        <v>-15</v>
      </c>
      <c r="S35" s="24">
        <f t="shared" si="4"/>
        <v>-44.799999999999898</v>
      </c>
      <c r="T35" s="24">
        <f t="shared" si="2"/>
        <v>-130.29999999999973</v>
      </c>
      <c r="U35" s="63"/>
    </row>
    <row r="36" spans="1:21" x14ac:dyDescent="0.2">
      <c r="A36" s="3"/>
      <c r="B36" s="17" t="s">
        <v>80</v>
      </c>
      <c r="C36" s="18"/>
      <c r="D36" s="21">
        <v>6</v>
      </c>
      <c r="E36" s="21">
        <v>16</v>
      </c>
      <c r="F36" s="21">
        <v>2</v>
      </c>
      <c r="G36" s="21">
        <v>26.1</v>
      </c>
      <c r="H36" s="19">
        <f t="shared" si="3"/>
        <v>-4</v>
      </c>
      <c r="I36" s="19">
        <f t="shared" si="3"/>
        <v>10.100000000000001</v>
      </c>
      <c r="J36" s="21">
        <v>110</v>
      </c>
      <c r="K36" s="21">
        <v>360.9</v>
      </c>
      <c r="L36" s="21">
        <v>3780.1</v>
      </c>
      <c r="M36" s="21">
        <v>90</v>
      </c>
      <c r="N36" s="21">
        <v>370.5</v>
      </c>
      <c r="O36" s="21">
        <v>3976.1</v>
      </c>
      <c r="P36" s="21"/>
      <c r="Q36" s="21"/>
      <c r="R36" s="19">
        <f t="shared" si="4"/>
        <v>-20</v>
      </c>
      <c r="S36" s="19">
        <f t="shared" si="4"/>
        <v>9.6000000000000227</v>
      </c>
      <c r="T36" s="19">
        <f t="shared" si="2"/>
        <v>196</v>
      </c>
      <c r="U36" s="63"/>
    </row>
    <row r="37" spans="1:21" x14ac:dyDescent="0.2">
      <c r="A37" s="3"/>
      <c r="B37" s="17" t="s">
        <v>81</v>
      </c>
      <c r="C37" s="18"/>
      <c r="D37" s="21">
        <v>6</v>
      </c>
      <c r="E37" s="21">
        <v>23.5</v>
      </c>
      <c r="F37" s="21">
        <v>5</v>
      </c>
      <c r="G37" s="21">
        <v>8.6</v>
      </c>
      <c r="H37" s="19">
        <f t="shared" si="3"/>
        <v>-1</v>
      </c>
      <c r="I37" s="19">
        <f t="shared" si="3"/>
        <v>-14.9</v>
      </c>
      <c r="J37" s="21">
        <v>82</v>
      </c>
      <c r="K37" s="21">
        <v>273</v>
      </c>
      <c r="L37" s="21">
        <v>2356.8000000000002</v>
      </c>
      <c r="M37" s="21">
        <v>71</v>
      </c>
      <c r="N37" s="21">
        <v>293.8</v>
      </c>
      <c r="O37" s="21">
        <v>2467.1999999999998</v>
      </c>
      <c r="P37" s="21"/>
      <c r="Q37" s="21"/>
      <c r="R37" s="19">
        <f t="shared" si="4"/>
        <v>-11</v>
      </c>
      <c r="S37" s="19">
        <f t="shared" si="4"/>
        <v>20.800000000000011</v>
      </c>
      <c r="T37" s="19">
        <f t="shared" si="2"/>
        <v>110.39999999999964</v>
      </c>
      <c r="U37" s="63"/>
    </row>
    <row r="38" spans="1:21" x14ac:dyDescent="0.2">
      <c r="A38" s="3"/>
      <c r="B38" s="22" t="s">
        <v>82</v>
      </c>
      <c r="C38" s="23"/>
      <c r="D38" s="24">
        <f t="shared" ref="D38:G38" si="15">D37-D36</f>
        <v>0</v>
      </c>
      <c r="E38" s="24">
        <f t="shared" si="15"/>
        <v>7.5</v>
      </c>
      <c r="F38" s="24">
        <f t="shared" si="15"/>
        <v>3</v>
      </c>
      <c r="G38" s="24">
        <f t="shared" si="15"/>
        <v>-17.5</v>
      </c>
      <c r="H38" s="24">
        <f t="shared" si="3"/>
        <v>3</v>
      </c>
      <c r="I38" s="24">
        <f t="shared" si="3"/>
        <v>-25</v>
      </c>
      <c r="J38" s="24">
        <f t="shared" ref="J38:O38" si="16">J37-J36</f>
        <v>-28</v>
      </c>
      <c r="K38" s="24">
        <f t="shared" si="16"/>
        <v>-87.899999999999977</v>
      </c>
      <c r="L38" s="24">
        <f t="shared" si="16"/>
        <v>-1423.2999999999997</v>
      </c>
      <c r="M38" s="24">
        <f t="shared" si="16"/>
        <v>-19</v>
      </c>
      <c r="N38" s="24">
        <f t="shared" si="16"/>
        <v>-76.699999999999989</v>
      </c>
      <c r="O38" s="24">
        <f t="shared" si="16"/>
        <v>-1508.9</v>
      </c>
      <c r="P38" s="24"/>
      <c r="Q38" s="24"/>
      <c r="R38" s="24">
        <f t="shared" si="4"/>
        <v>9</v>
      </c>
      <c r="S38" s="24">
        <f t="shared" si="4"/>
        <v>11.199999999999989</v>
      </c>
      <c r="T38" s="24">
        <f t="shared" si="2"/>
        <v>-85.600000000000364</v>
      </c>
      <c r="U38" s="63"/>
    </row>
    <row r="39" spans="1:21" x14ac:dyDescent="0.2">
      <c r="A39" s="3"/>
      <c r="B39" s="17" t="s">
        <v>83</v>
      </c>
      <c r="C39" s="18"/>
      <c r="D39" s="21">
        <f t="shared" ref="D39:G39" si="17">D17+D37</f>
        <v>12</v>
      </c>
      <c r="E39" s="21">
        <f t="shared" si="17"/>
        <v>89</v>
      </c>
      <c r="F39" s="21">
        <f t="shared" si="17"/>
        <v>9</v>
      </c>
      <c r="G39" s="21">
        <f t="shared" si="17"/>
        <v>34.199999999999996</v>
      </c>
      <c r="H39" s="19">
        <f t="shared" si="3"/>
        <v>-3</v>
      </c>
      <c r="I39" s="19">
        <f t="shared" si="3"/>
        <v>-54.800000000000004</v>
      </c>
      <c r="J39" s="21">
        <f t="shared" ref="J39:O39" si="18">J17+J37</f>
        <v>178</v>
      </c>
      <c r="K39" s="21">
        <f t="shared" si="18"/>
        <v>961.19999999999993</v>
      </c>
      <c r="L39" s="21">
        <f t="shared" si="18"/>
        <v>8420.6</v>
      </c>
      <c r="M39" s="21">
        <f t="shared" si="18"/>
        <v>162</v>
      </c>
      <c r="N39" s="21">
        <f t="shared" si="18"/>
        <v>946.3</v>
      </c>
      <c r="O39" s="21">
        <f t="shared" si="18"/>
        <v>8234</v>
      </c>
      <c r="P39" s="21"/>
      <c r="Q39" s="21"/>
      <c r="R39" s="19">
        <f t="shared" si="4"/>
        <v>-16</v>
      </c>
      <c r="S39" s="19">
        <f t="shared" si="4"/>
        <v>-14.899999999999977</v>
      </c>
      <c r="T39" s="19">
        <f t="shared" si="2"/>
        <v>-186.60000000000036</v>
      </c>
      <c r="U39" s="63"/>
    </row>
    <row r="40" spans="1:21" x14ac:dyDescent="0.2">
      <c r="A40" s="3"/>
      <c r="B40" s="17" t="s">
        <v>84</v>
      </c>
      <c r="C40" s="18"/>
      <c r="D40" s="21">
        <f t="shared" ref="D40:G40" si="19">D15+D16+D36</f>
        <v>10</v>
      </c>
      <c r="E40" s="21">
        <f t="shared" si="19"/>
        <v>21.3</v>
      </c>
      <c r="F40" s="21">
        <f t="shared" si="19"/>
        <v>7</v>
      </c>
      <c r="G40" s="21">
        <f t="shared" si="19"/>
        <v>41.900000000000006</v>
      </c>
      <c r="H40" s="19">
        <f t="shared" si="3"/>
        <v>-3</v>
      </c>
      <c r="I40" s="19">
        <f t="shared" si="3"/>
        <v>20.600000000000005</v>
      </c>
      <c r="J40" s="21">
        <f t="shared" ref="J40:O40" si="20">J15+J16+J36</f>
        <v>189</v>
      </c>
      <c r="K40" s="21">
        <f t="shared" si="20"/>
        <v>640.5</v>
      </c>
      <c r="L40" s="21">
        <f t="shared" si="20"/>
        <v>7154</v>
      </c>
      <c r="M40" s="21">
        <f t="shared" si="20"/>
        <v>179</v>
      </c>
      <c r="N40" s="21">
        <f t="shared" si="20"/>
        <v>659.2</v>
      </c>
      <c r="O40" s="21">
        <f t="shared" si="20"/>
        <v>7183.2999999999993</v>
      </c>
      <c r="P40" s="21"/>
      <c r="Q40" s="21"/>
      <c r="R40" s="19">
        <f t="shared" si="4"/>
        <v>-10</v>
      </c>
      <c r="S40" s="19">
        <f t="shared" si="4"/>
        <v>18.700000000000045</v>
      </c>
      <c r="T40" s="19">
        <f t="shared" si="2"/>
        <v>29.299999999999272</v>
      </c>
      <c r="U40" s="63"/>
    </row>
    <row r="41" spans="1:21" x14ac:dyDescent="0.2">
      <c r="A41" s="3"/>
      <c r="B41" s="22" t="s">
        <v>85</v>
      </c>
      <c r="C41" s="23"/>
      <c r="D41" s="24">
        <f t="shared" ref="D41:G41" si="21">D39-D40</f>
        <v>2</v>
      </c>
      <c r="E41" s="24">
        <f t="shared" si="21"/>
        <v>67.7</v>
      </c>
      <c r="F41" s="24">
        <f t="shared" si="21"/>
        <v>2</v>
      </c>
      <c r="G41" s="24">
        <f t="shared" si="21"/>
        <v>-7.7000000000000099</v>
      </c>
      <c r="H41" s="24">
        <f t="shared" si="3"/>
        <v>0</v>
      </c>
      <c r="I41" s="24">
        <f t="shared" si="3"/>
        <v>-75.400000000000006</v>
      </c>
      <c r="J41" s="24">
        <f t="shared" ref="J41:O41" si="22">J39-J40</f>
        <v>-11</v>
      </c>
      <c r="K41" s="24">
        <f t="shared" si="22"/>
        <v>320.69999999999993</v>
      </c>
      <c r="L41" s="24">
        <f t="shared" si="22"/>
        <v>1266.6000000000004</v>
      </c>
      <c r="M41" s="24">
        <f t="shared" si="22"/>
        <v>-17</v>
      </c>
      <c r="N41" s="24">
        <f t="shared" si="22"/>
        <v>287.09999999999991</v>
      </c>
      <c r="O41" s="24">
        <f t="shared" si="22"/>
        <v>1050.7000000000007</v>
      </c>
      <c r="P41" s="24"/>
      <c r="Q41" s="24"/>
      <c r="R41" s="24">
        <f t="shared" si="4"/>
        <v>-6</v>
      </c>
      <c r="S41" s="24">
        <f t="shared" si="4"/>
        <v>-33.600000000000023</v>
      </c>
      <c r="T41" s="24">
        <f t="shared" si="2"/>
        <v>-215.89999999999964</v>
      </c>
      <c r="U41" s="63"/>
    </row>
    <row r="42" spans="1:21" x14ac:dyDescent="0.2">
      <c r="A42" s="3"/>
      <c r="B42" s="25" t="s">
        <v>86</v>
      </c>
      <c r="C42" s="26"/>
      <c r="D42" s="21"/>
      <c r="E42" s="21">
        <v>13.7</v>
      </c>
      <c r="F42" s="21"/>
      <c r="G42" s="21">
        <v>10</v>
      </c>
      <c r="H42" s="19"/>
      <c r="I42" s="19">
        <f t="shared" ref="I42:I49" si="23">G42-E42</f>
        <v>-3.6999999999999993</v>
      </c>
      <c r="J42" s="21"/>
      <c r="K42" s="21">
        <v>274.2</v>
      </c>
      <c r="L42" s="21">
        <v>2879.2</v>
      </c>
      <c r="M42" s="21"/>
      <c r="N42" s="21">
        <v>314.5</v>
      </c>
      <c r="O42" s="21">
        <v>3441</v>
      </c>
      <c r="P42" s="21"/>
      <c r="Q42" s="21"/>
      <c r="R42" s="19"/>
      <c r="S42" s="19">
        <f t="shared" ref="S42:S44" si="24">N42-K42</f>
        <v>40.300000000000011</v>
      </c>
      <c r="T42" s="19">
        <f t="shared" si="2"/>
        <v>561.80000000000018</v>
      </c>
      <c r="U42" s="63"/>
    </row>
    <row r="43" spans="1:21" x14ac:dyDescent="0.2">
      <c r="A43" s="3"/>
      <c r="B43" s="25" t="s">
        <v>87</v>
      </c>
      <c r="C43" s="26"/>
      <c r="D43" s="21"/>
      <c r="E43" s="21">
        <v>3.5</v>
      </c>
      <c r="F43" s="21"/>
      <c r="G43" s="21">
        <v>29.1</v>
      </c>
      <c r="H43" s="19"/>
      <c r="I43" s="19">
        <f t="shared" si="23"/>
        <v>25.6</v>
      </c>
      <c r="J43" s="21"/>
      <c r="K43" s="21">
        <v>69.099999999999994</v>
      </c>
      <c r="L43" s="21">
        <v>725.5</v>
      </c>
      <c r="M43" s="21"/>
      <c r="N43" s="21">
        <v>58.6</v>
      </c>
      <c r="O43" s="21">
        <v>330.6</v>
      </c>
      <c r="P43" s="21"/>
      <c r="Q43" s="21"/>
      <c r="R43" s="19"/>
      <c r="S43" s="19">
        <f t="shared" si="24"/>
        <v>-10.499999999999993</v>
      </c>
      <c r="T43" s="19">
        <f t="shared" si="2"/>
        <v>-394.9</v>
      </c>
      <c r="U43" s="63"/>
    </row>
    <row r="44" spans="1:21" x14ac:dyDescent="0.2">
      <c r="A44" s="3"/>
      <c r="B44" s="22" t="s">
        <v>88</v>
      </c>
      <c r="C44" s="23"/>
      <c r="D44" s="24"/>
      <c r="E44" s="24">
        <f>E43+E42</f>
        <v>17.2</v>
      </c>
      <c r="F44" s="24"/>
      <c r="G44" s="24">
        <f>G43+G42</f>
        <v>39.1</v>
      </c>
      <c r="H44" s="24"/>
      <c r="I44" s="24">
        <f t="shared" si="23"/>
        <v>21.900000000000002</v>
      </c>
      <c r="J44" s="24"/>
      <c r="K44" s="24">
        <f t="shared" ref="K44:L44" si="25">K43+K42</f>
        <v>343.29999999999995</v>
      </c>
      <c r="L44" s="24">
        <f t="shared" si="25"/>
        <v>3604.7</v>
      </c>
      <c r="M44" s="24"/>
      <c r="N44" s="24">
        <f t="shared" ref="N44:O44" si="26">N43+N42</f>
        <v>373.1</v>
      </c>
      <c r="O44" s="24">
        <f t="shared" si="26"/>
        <v>3771.6</v>
      </c>
      <c r="P44" s="24"/>
      <c r="Q44" s="24"/>
      <c r="R44" s="24"/>
      <c r="S44" s="24">
        <f t="shared" si="24"/>
        <v>29.800000000000068</v>
      </c>
      <c r="T44" s="24">
        <f t="shared" si="2"/>
        <v>166.90000000000009</v>
      </c>
      <c r="U44" s="63"/>
    </row>
    <row r="45" spans="1:21" x14ac:dyDescent="0.2">
      <c r="A45" s="3"/>
      <c r="B45" s="17" t="s">
        <v>89</v>
      </c>
      <c r="C45" s="18"/>
      <c r="D45" s="21"/>
      <c r="E45" s="21">
        <v>67.2</v>
      </c>
      <c r="F45" s="21"/>
      <c r="G45" s="21">
        <v>67</v>
      </c>
      <c r="H45" s="19"/>
      <c r="I45" s="19">
        <f t="shared" si="23"/>
        <v>-0.20000000000000284</v>
      </c>
      <c r="J45" s="21"/>
      <c r="K45" s="21"/>
      <c r="L45" s="21">
        <v>1344</v>
      </c>
      <c r="M45" s="21"/>
      <c r="N45" s="21"/>
      <c r="O45" s="21">
        <v>1340</v>
      </c>
      <c r="P45" s="21"/>
      <c r="Q45" s="21"/>
      <c r="R45" s="19"/>
      <c r="S45" s="27"/>
      <c r="T45" s="19">
        <f t="shared" si="2"/>
        <v>-4</v>
      </c>
      <c r="U45" s="63"/>
    </row>
    <row r="46" spans="1:21" x14ac:dyDescent="0.2">
      <c r="A46" s="3"/>
      <c r="B46" s="17" t="s">
        <v>90</v>
      </c>
      <c r="C46" s="18"/>
      <c r="D46" s="21"/>
      <c r="E46" s="21">
        <v>116</v>
      </c>
      <c r="F46" s="21"/>
      <c r="G46" s="21">
        <v>82.6</v>
      </c>
      <c r="H46" s="19"/>
      <c r="I46" s="19">
        <f t="shared" si="23"/>
        <v>-33.400000000000006</v>
      </c>
      <c r="J46" s="21"/>
      <c r="K46" s="21"/>
      <c r="L46" s="21">
        <v>2129</v>
      </c>
      <c r="M46" s="21"/>
      <c r="N46" s="21"/>
      <c r="O46" s="21">
        <v>1942.4</v>
      </c>
      <c r="P46" s="21"/>
      <c r="Q46" s="21"/>
      <c r="R46" s="19"/>
      <c r="S46" s="27"/>
      <c r="T46" s="19">
        <f t="shared" si="2"/>
        <v>-186.59999999999991</v>
      </c>
      <c r="U46" s="63"/>
    </row>
    <row r="47" spans="1:21" x14ac:dyDescent="0.2">
      <c r="A47" s="3"/>
      <c r="B47" s="22" t="s">
        <v>91</v>
      </c>
      <c r="C47" s="23"/>
      <c r="D47" s="24"/>
      <c r="E47" s="24">
        <f>E46-E45</f>
        <v>48.8</v>
      </c>
      <c r="F47" s="24"/>
      <c r="G47" s="24">
        <f>G46-G45</f>
        <v>15.599999999999994</v>
      </c>
      <c r="H47" s="24"/>
      <c r="I47" s="24">
        <f t="shared" si="23"/>
        <v>-33.200000000000003</v>
      </c>
      <c r="J47" s="24"/>
      <c r="K47" s="24"/>
      <c r="L47" s="24">
        <f>L46-L45</f>
        <v>785</v>
      </c>
      <c r="M47" s="24"/>
      <c r="N47" s="24"/>
      <c r="O47" s="24">
        <f>O46-O45</f>
        <v>602.40000000000009</v>
      </c>
      <c r="P47" s="24"/>
      <c r="Q47" s="24"/>
      <c r="R47" s="24"/>
      <c r="S47" s="28"/>
      <c r="T47" s="24">
        <f t="shared" si="2"/>
        <v>-182.59999999999991</v>
      </c>
      <c r="U47" s="63"/>
    </row>
    <row r="48" spans="1:21" x14ac:dyDescent="0.2">
      <c r="A48" s="3"/>
      <c r="B48" s="17" t="s">
        <v>92</v>
      </c>
      <c r="C48" s="18"/>
      <c r="D48" s="21"/>
      <c r="E48" s="21">
        <v>65.5</v>
      </c>
      <c r="F48" s="21"/>
      <c r="G48" s="21">
        <v>65</v>
      </c>
      <c r="H48" s="19"/>
      <c r="I48" s="19">
        <f t="shared" si="23"/>
        <v>-0.5</v>
      </c>
      <c r="J48" s="21"/>
      <c r="K48" s="21"/>
      <c r="L48" s="21">
        <v>1310</v>
      </c>
      <c r="M48" s="21"/>
      <c r="N48" s="21"/>
      <c r="O48" s="21">
        <v>1300</v>
      </c>
      <c r="P48" s="21"/>
      <c r="Q48" s="21"/>
      <c r="R48" s="19"/>
      <c r="S48" s="27"/>
      <c r="T48" s="19">
        <f t="shared" si="2"/>
        <v>-10</v>
      </c>
      <c r="U48" s="63"/>
    </row>
    <row r="49" spans="1:21" x14ac:dyDescent="0.2">
      <c r="A49" s="3"/>
      <c r="B49" s="17" t="s">
        <v>93</v>
      </c>
      <c r="C49" s="18"/>
      <c r="D49" s="20"/>
      <c r="E49" s="21">
        <v>87.3</v>
      </c>
      <c r="F49" s="21"/>
      <c r="G49" s="21">
        <v>120.8</v>
      </c>
      <c r="H49" s="19"/>
      <c r="I49" s="19">
        <f t="shared" si="23"/>
        <v>33.5</v>
      </c>
      <c r="J49" s="20"/>
      <c r="K49" s="20"/>
      <c r="L49" s="21">
        <v>2010.9</v>
      </c>
      <c r="M49" s="21"/>
      <c r="N49" s="21"/>
      <c r="O49" s="21">
        <v>2790.7</v>
      </c>
      <c r="P49" s="21">
        <v>40</v>
      </c>
      <c r="Q49" s="21">
        <v>221.8</v>
      </c>
      <c r="R49" s="19"/>
      <c r="S49" s="29">
        <f t="shared" ref="S49:S50" si="27">IF(Q49=0,"",G49/Q49)</f>
        <v>0.54463480613165005</v>
      </c>
      <c r="T49" s="19">
        <f t="shared" si="2"/>
        <v>779.79999999999973</v>
      </c>
      <c r="U49" s="63"/>
    </row>
    <row r="50" spans="1:21" x14ac:dyDescent="0.2">
      <c r="A50" s="3"/>
      <c r="B50" s="17" t="s">
        <v>94</v>
      </c>
      <c r="C50" s="18"/>
      <c r="D50" s="21"/>
      <c r="E50" s="21"/>
      <c r="F50" s="21"/>
      <c r="G50" s="21">
        <v>108</v>
      </c>
      <c r="H50" s="19"/>
      <c r="I50" s="19"/>
      <c r="J50" s="21"/>
      <c r="K50" s="21"/>
      <c r="L50" s="21"/>
      <c r="M50" s="21"/>
      <c r="N50" s="21"/>
      <c r="O50" s="21"/>
      <c r="P50" s="21">
        <v>29</v>
      </c>
      <c r="Q50" s="21">
        <v>187</v>
      </c>
      <c r="R50" s="19"/>
      <c r="S50" s="29">
        <f t="shared" si="27"/>
        <v>0.57754010695187163</v>
      </c>
      <c r="T50" s="19"/>
      <c r="U50" s="63"/>
    </row>
    <row r="51" spans="1:21" x14ac:dyDescent="0.2">
      <c r="A51" s="3"/>
      <c r="B51" s="22" t="s">
        <v>95</v>
      </c>
      <c r="C51" s="23"/>
      <c r="D51" s="24"/>
      <c r="E51" s="24">
        <f>E49-E48</f>
        <v>21.799999999999997</v>
      </c>
      <c r="F51" s="24"/>
      <c r="G51" s="24">
        <f>G49-G48</f>
        <v>55.8</v>
      </c>
      <c r="H51" s="24"/>
      <c r="I51" s="24">
        <f t="shared" ref="I51:I54" si="28">G51-E51</f>
        <v>34</v>
      </c>
      <c r="J51" s="24"/>
      <c r="K51" s="24"/>
      <c r="L51" s="24">
        <f>L49-L48</f>
        <v>700.90000000000009</v>
      </c>
      <c r="M51" s="24"/>
      <c r="N51" s="24"/>
      <c r="O51" s="24">
        <f>O49-O48</f>
        <v>1490.6999999999998</v>
      </c>
      <c r="P51" s="24"/>
      <c r="Q51" s="24"/>
      <c r="R51" s="24"/>
      <c r="S51" s="28"/>
      <c r="T51" s="24">
        <f t="shared" ref="T51:T54" si="29">O51-L51</f>
        <v>789.79999999999973</v>
      </c>
      <c r="U51" s="63"/>
    </row>
    <row r="52" spans="1:21" x14ac:dyDescent="0.2">
      <c r="A52" s="3"/>
      <c r="B52" s="17" t="s">
        <v>96</v>
      </c>
      <c r="C52" s="18"/>
      <c r="D52" s="21"/>
      <c r="E52" s="21">
        <v>0</v>
      </c>
      <c r="F52" s="21"/>
      <c r="G52" s="21"/>
      <c r="H52" s="19"/>
      <c r="I52" s="19">
        <f t="shared" si="28"/>
        <v>0</v>
      </c>
      <c r="J52" s="21"/>
      <c r="K52" s="21"/>
      <c r="L52" s="21">
        <v>0</v>
      </c>
      <c r="M52" s="21"/>
      <c r="N52" s="21"/>
      <c r="O52" s="21"/>
      <c r="P52" s="21"/>
      <c r="Q52" s="21"/>
      <c r="R52" s="19"/>
      <c r="S52" s="27"/>
      <c r="T52" s="19">
        <f t="shared" si="29"/>
        <v>0</v>
      </c>
      <c r="U52" s="63"/>
    </row>
    <row r="53" spans="1:21" x14ac:dyDescent="0.2">
      <c r="A53" s="3"/>
      <c r="B53" s="17" t="s">
        <v>97</v>
      </c>
      <c r="C53" s="18"/>
      <c r="D53" s="21"/>
      <c r="E53" s="21">
        <v>0</v>
      </c>
      <c r="F53" s="21"/>
      <c r="G53" s="21">
        <v>0</v>
      </c>
      <c r="H53" s="19"/>
      <c r="I53" s="19">
        <f t="shared" si="28"/>
        <v>0</v>
      </c>
      <c r="J53" s="21"/>
      <c r="K53" s="21"/>
      <c r="L53" s="21">
        <v>0</v>
      </c>
      <c r="M53" s="21"/>
      <c r="N53" s="21"/>
      <c r="O53" s="21">
        <v>0</v>
      </c>
      <c r="P53" s="21"/>
      <c r="Q53" s="21"/>
      <c r="R53" s="19"/>
      <c r="S53" s="27"/>
      <c r="T53" s="19">
        <f t="shared" si="29"/>
        <v>0</v>
      </c>
      <c r="U53" s="63"/>
    </row>
    <row r="54" spans="1:21" x14ac:dyDescent="0.2">
      <c r="A54" s="3"/>
      <c r="B54" s="22" t="s">
        <v>98</v>
      </c>
      <c r="C54" s="23"/>
      <c r="D54" s="24"/>
      <c r="E54" s="24">
        <f>E53-E52</f>
        <v>0</v>
      </c>
      <c r="F54" s="24"/>
      <c r="G54" s="24">
        <f>G53-G52</f>
        <v>0</v>
      </c>
      <c r="H54" s="24"/>
      <c r="I54" s="24">
        <f t="shared" si="28"/>
        <v>0</v>
      </c>
      <c r="J54" s="24"/>
      <c r="K54" s="24"/>
      <c r="L54" s="24">
        <f>L53-L52</f>
        <v>0</v>
      </c>
      <c r="M54" s="24"/>
      <c r="N54" s="24"/>
      <c r="O54" s="24">
        <f>O53-O52</f>
        <v>0</v>
      </c>
      <c r="P54" s="24"/>
      <c r="Q54" s="24"/>
      <c r="R54" s="24"/>
      <c r="S54" s="28"/>
      <c r="T54" s="24">
        <f t="shared" si="29"/>
        <v>0</v>
      </c>
      <c r="U54" s="63"/>
    </row>
    <row r="55" spans="1:21" ht="12" thickBot="1" x14ac:dyDescent="0.25">
      <c r="A55" s="3"/>
      <c r="B55" s="30" t="s">
        <v>99</v>
      </c>
      <c r="C55" s="31"/>
      <c r="D55" s="32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4"/>
      <c r="T55" s="33"/>
      <c r="U55" s="63"/>
    </row>
    <row r="56" spans="1:21" x14ac:dyDescent="0.2">
      <c r="A56" s="3"/>
      <c r="B56" s="35" t="s">
        <v>100</v>
      </c>
      <c r="C56" s="36"/>
      <c r="D56" s="129">
        <f>D14+K41+-K44-E47+E51+E62+E55</f>
        <v>16686.400000000001</v>
      </c>
      <c r="E56" s="129"/>
      <c r="F56" s="129">
        <f>F14+N41+-N44-G47+G51+G62+G55</f>
        <v>16690.2</v>
      </c>
      <c r="G56" s="129"/>
      <c r="H56" s="37"/>
      <c r="I56" s="37">
        <f>F56-D56</f>
        <v>3.7999999999992724</v>
      </c>
      <c r="J56" s="129">
        <f>L14+L41+-L44-L47+L51+L62+L55</f>
        <v>332297.8</v>
      </c>
      <c r="K56" s="129"/>
      <c r="L56" s="129"/>
      <c r="M56" s="129">
        <f>O14+O41+-O44-O47+O51+O62+O55</f>
        <v>332889.60000000003</v>
      </c>
      <c r="N56" s="129"/>
      <c r="O56" s="129"/>
      <c r="P56" s="37"/>
      <c r="Q56" s="37"/>
      <c r="R56" s="129">
        <f>M56-J56</f>
        <v>591.80000000004657</v>
      </c>
      <c r="S56" s="129"/>
      <c r="T56" s="129"/>
      <c r="U56" s="63"/>
    </row>
    <row r="57" spans="1:21" x14ac:dyDescent="0.2">
      <c r="A57" s="3"/>
      <c r="B57" s="38" t="s">
        <v>101</v>
      </c>
      <c r="C57" s="39"/>
      <c r="D57" s="128"/>
      <c r="E57" s="128"/>
      <c r="F57" s="128">
        <v>16702</v>
      </c>
      <c r="G57" s="128"/>
      <c r="H57" s="40"/>
      <c r="I57" s="40">
        <f>F57-D56</f>
        <v>15.599999999998545</v>
      </c>
      <c r="J57" s="128"/>
      <c r="K57" s="128"/>
      <c r="L57" s="128"/>
      <c r="M57" s="128">
        <v>333171</v>
      </c>
      <c r="N57" s="128"/>
      <c r="O57" s="128"/>
      <c r="P57" s="40"/>
      <c r="Q57" s="40"/>
      <c r="R57" s="128">
        <f>M57-J56</f>
        <v>873.20000000001164</v>
      </c>
      <c r="S57" s="128"/>
      <c r="T57" s="128"/>
      <c r="U57" s="63"/>
    </row>
    <row r="58" spans="1:21" ht="12" thickBot="1" x14ac:dyDescent="0.25">
      <c r="A58" s="3"/>
      <c r="B58" s="41" t="s">
        <v>102</v>
      </c>
      <c r="C58" s="42"/>
      <c r="D58" s="130"/>
      <c r="E58" s="130"/>
      <c r="F58" s="130">
        <f>F57-F56</f>
        <v>11.799999999999272</v>
      </c>
      <c r="G58" s="130"/>
      <c r="H58" s="43"/>
      <c r="I58" s="43"/>
      <c r="J58" s="130"/>
      <c r="K58" s="130"/>
      <c r="L58" s="130"/>
      <c r="M58" s="130">
        <f>M57-M56</f>
        <v>281.39999999996508</v>
      </c>
      <c r="N58" s="130"/>
      <c r="O58" s="130"/>
      <c r="P58" s="43"/>
      <c r="Q58" s="43"/>
      <c r="R58" s="130"/>
      <c r="S58" s="130"/>
      <c r="T58" s="130"/>
      <c r="U58" s="63"/>
    </row>
    <row r="59" spans="1:21" x14ac:dyDescent="0.2">
      <c r="A59" s="3"/>
      <c r="B59" s="44" t="s">
        <v>103</v>
      </c>
      <c r="C59" s="45"/>
      <c r="D59" s="46"/>
      <c r="E59" s="47">
        <f>D56-D14</f>
        <v>-49.599999999998545</v>
      </c>
      <c r="F59" s="48"/>
      <c r="G59" s="47">
        <f>F57-F14</f>
        <v>-34</v>
      </c>
      <c r="H59" s="49"/>
      <c r="I59" s="49"/>
      <c r="J59" s="50"/>
      <c r="K59" s="50"/>
      <c r="L59" s="50">
        <f>J56-L14</f>
        <v>-2422.2000000000116</v>
      </c>
      <c r="M59" s="50"/>
      <c r="N59" s="50"/>
      <c r="O59" s="50">
        <f>M56-O14</f>
        <v>-1830.3999999999651</v>
      </c>
      <c r="P59" s="49"/>
      <c r="Q59" s="49"/>
      <c r="R59" s="50"/>
      <c r="S59" s="50"/>
      <c r="T59" s="51"/>
      <c r="U59" s="63"/>
    </row>
    <row r="60" spans="1:21" x14ac:dyDescent="0.2">
      <c r="A60" s="3"/>
      <c r="B60" s="52" t="s">
        <v>104</v>
      </c>
      <c r="C60" s="53"/>
      <c r="D60" s="54"/>
      <c r="E60" s="54"/>
      <c r="F60" s="54"/>
      <c r="G60" s="54"/>
      <c r="H60" s="55"/>
      <c r="I60" s="55"/>
      <c r="J60" s="54"/>
      <c r="K60" s="54"/>
      <c r="L60" s="54"/>
      <c r="M60" s="54"/>
      <c r="N60" s="54"/>
      <c r="O60" s="54"/>
      <c r="P60" s="54"/>
      <c r="Q60" s="54"/>
      <c r="R60" s="55"/>
      <c r="S60" s="55"/>
      <c r="T60" s="55"/>
      <c r="U60" s="63"/>
    </row>
    <row r="61" spans="1:21" x14ac:dyDescent="0.2">
      <c r="A61" s="3"/>
      <c r="B61" s="52" t="s">
        <v>105</v>
      </c>
      <c r="C61" s="53"/>
      <c r="D61" s="54"/>
      <c r="E61" s="54"/>
      <c r="F61" s="54"/>
      <c r="G61" s="54">
        <v>0</v>
      </c>
      <c r="H61" s="55"/>
      <c r="I61" s="55"/>
      <c r="J61" s="54"/>
      <c r="K61" s="54"/>
      <c r="L61" s="54"/>
      <c r="M61" s="54"/>
      <c r="N61" s="54"/>
      <c r="O61" s="54">
        <v>2.2000000000000002</v>
      </c>
      <c r="P61" s="54"/>
      <c r="Q61" s="54"/>
      <c r="R61" s="55"/>
      <c r="S61" s="55"/>
      <c r="T61" s="55"/>
      <c r="U61" s="63"/>
    </row>
    <row r="62" spans="1:21" ht="12" thickBot="1" x14ac:dyDescent="0.25">
      <c r="A62" s="3"/>
      <c r="B62" s="56" t="s">
        <v>106</v>
      </c>
      <c r="C62" s="57"/>
      <c r="D62" s="58">
        <f t="shared" ref="D62:G62" si="30">D61-D60</f>
        <v>0</v>
      </c>
      <c r="E62" s="58">
        <f t="shared" si="30"/>
        <v>0</v>
      </c>
      <c r="F62" s="58">
        <f t="shared" si="30"/>
        <v>0</v>
      </c>
      <c r="G62" s="58">
        <f t="shared" si="30"/>
        <v>0</v>
      </c>
      <c r="H62" s="58"/>
      <c r="I62" s="58">
        <f>G62-E62</f>
        <v>0</v>
      </c>
      <c r="J62" s="58"/>
      <c r="K62" s="58"/>
      <c r="L62" s="58">
        <f>L61-L60</f>
        <v>0</v>
      </c>
      <c r="M62" s="58"/>
      <c r="N62" s="58"/>
      <c r="O62" s="58">
        <f>O61-O60</f>
        <v>2.2000000000000002</v>
      </c>
      <c r="P62" s="58"/>
      <c r="Q62" s="58"/>
      <c r="R62" s="58"/>
      <c r="S62" s="58"/>
      <c r="T62" s="58">
        <f>O62-L62</f>
        <v>2.2000000000000002</v>
      </c>
      <c r="U62" s="63"/>
    </row>
    <row r="63" spans="1:21" x14ac:dyDescent="0.2">
      <c r="A63" s="3"/>
      <c r="B63" s="64" t="s">
        <v>107</v>
      </c>
      <c r="C63" s="65"/>
      <c r="D63" s="66"/>
      <c r="E63" s="66"/>
      <c r="F63" s="66"/>
      <c r="G63" s="66">
        <v>-1</v>
      </c>
      <c r="H63" s="67"/>
      <c r="I63" s="68"/>
      <c r="J63" s="69"/>
      <c r="K63" s="69"/>
      <c r="L63" s="70"/>
      <c r="M63" s="71"/>
      <c r="N63" s="71"/>
      <c r="O63" s="72">
        <v>0</v>
      </c>
      <c r="P63" s="69"/>
      <c r="Q63" s="69"/>
      <c r="R63" s="68"/>
      <c r="S63" s="68"/>
      <c r="T63" s="68"/>
      <c r="U63" s="63"/>
    </row>
    <row r="64" spans="1:21" x14ac:dyDescent="0.2">
      <c r="A64" s="3"/>
      <c r="B64" s="73" t="s">
        <v>108</v>
      </c>
      <c r="C64" s="74"/>
      <c r="D64" s="75"/>
      <c r="E64" s="75"/>
      <c r="F64" s="75"/>
      <c r="G64" s="75">
        <v>-4.9000000000000004</v>
      </c>
      <c r="H64" s="76"/>
      <c r="I64" s="77"/>
      <c r="J64" s="78"/>
      <c r="K64" s="78"/>
      <c r="L64" s="79"/>
      <c r="M64" s="80"/>
      <c r="N64" s="80"/>
      <c r="O64" s="81">
        <v>-51.1</v>
      </c>
      <c r="P64" s="78"/>
      <c r="Q64" s="78"/>
      <c r="R64" s="77"/>
      <c r="S64" s="77"/>
      <c r="T64" s="77"/>
      <c r="U64" s="63"/>
    </row>
    <row r="65" spans="1:21" ht="22.5" x14ac:dyDescent="0.2">
      <c r="A65" s="3"/>
      <c r="B65" s="82" t="s">
        <v>109</v>
      </c>
      <c r="C65" s="83"/>
      <c r="D65" s="84"/>
      <c r="E65" s="84">
        <f t="shared" ref="E65:G65" si="31">E64-E63</f>
        <v>0</v>
      </c>
      <c r="F65" s="84">
        <f t="shared" si="31"/>
        <v>0</v>
      </c>
      <c r="G65" s="84">
        <f t="shared" si="31"/>
        <v>-3.9000000000000004</v>
      </c>
      <c r="H65" s="84"/>
      <c r="I65" s="85">
        <f>G65-E65</f>
        <v>-3.9000000000000004</v>
      </c>
      <c r="J65" s="86"/>
      <c r="K65" s="86"/>
      <c r="L65" s="87">
        <f>L64-L63</f>
        <v>0</v>
      </c>
      <c r="M65" s="85"/>
      <c r="N65" s="85"/>
      <c r="O65" s="88">
        <f>O64-O63</f>
        <v>-51.1</v>
      </c>
      <c r="P65" s="86"/>
      <c r="Q65" s="86"/>
      <c r="R65" s="85"/>
      <c r="S65" s="85"/>
      <c r="T65" s="85">
        <f>O65-L65</f>
        <v>-51.1</v>
      </c>
      <c r="U65" s="63"/>
    </row>
    <row r="66" spans="1:21" ht="12" thickBot="1" x14ac:dyDescent="0.25"/>
    <row r="67" spans="1:21" ht="11.25" customHeight="1" x14ac:dyDescent="0.2">
      <c r="B67" s="149" t="s">
        <v>110</v>
      </c>
      <c r="C67" s="149"/>
      <c r="D67" s="149" t="s">
        <v>111</v>
      </c>
      <c r="E67" s="151"/>
      <c r="F67" s="149" t="s">
        <v>112</v>
      </c>
      <c r="G67" s="151"/>
      <c r="H67" s="149" t="s">
        <v>113</v>
      </c>
      <c r="I67" s="151"/>
    </row>
    <row r="68" spans="1:21" x14ac:dyDescent="0.2">
      <c r="B68" s="150"/>
      <c r="C68" s="150"/>
      <c r="D68" s="115" t="s">
        <v>54</v>
      </c>
      <c r="E68" s="115" t="s">
        <v>23</v>
      </c>
      <c r="F68" s="115" t="s">
        <v>54</v>
      </c>
      <c r="G68" s="115" t="s">
        <v>23</v>
      </c>
      <c r="H68" s="115" t="s">
        <v>54</v>
      </c>
      <c r="I68" s="115" t="s">
        <v>23</v>
      </c>
    </row>
    <row r="69" spans="1:21" x14ac:dyDescent="0.2">
      <c r="B69" s="89" t="s">
        <v>114</v>
      </c>
      <c r="C69" s="90"/>
      <c r="D69" s="21">
        <v>141</v>
      </c>
      <c r="E69" s="21">
        <v>274.68</v>
      </c>
      <c r="F69" s="21">
        <v>157</v>
      </c>
      <c r="G69" s="21">
        <v>351.57900000000001</v>
      </c>
      <c r="H69" s="91">
        <f t="shared" ref="H69:I76" si="32">F69-D69</f>
        <v>16</v>
      </c>
      <c r="I69" s="91">
        <f t="shared" si="32"/>
        <v>76.899000000000001</v>
      </c>
    </row>
    <row r="70" spans="1:21" x14ac:dyDescent="0.2">
      <c r="B70" s="89" t="s">
        <v>115</v>
      </c>
      <c r="C70" s="90"/>
      <c r="D70" s="21">
        <v>73</v>
      </c>
      <c r="E70" s="21">
        <v>105.77200000000001</v>
      </c>
      <c r="F70" s="21">
        <v>85</v>
      </c>
      <c r="G70" s="21">
        <v>174.738</v>
      </c>
      <c r="H70" s="91">
        <f t="shared" si="32"/>
        <v>12</v>
      </c>
      <c r="I70" s="91">
        <f t="shared" si="32"/>
        <v>68.965999999999994</v>
      </c>
    </row>
    <row r="71" spans="1:21" x14ac:dyDescent="0.2">
      <c r="B71" s="89" t="s">
        <v>116</v>
      </c>
      <c r="C71" s="90"/>
      <c r="D71" s="21">
        <v>68</v>
      </c>
      <c r="E71" s="21">
        <v>168.90799999999999</v>
      </c>
      <c r="F71" s="21">
        <v>72</v>
      </c>
      <c r="G71" s="21">
        <v>176.84100000000001</v>
      </c>
      <c r="H71" s="91">
        <f t="shared" si="32"/>
        <v>4</v>
      </c>
      <c r="I71" s="91">
        <f t="shared" si="32"/>
        <v>7.9330000000000211</v>
      </c>
    </row>
    <row r="72" spans="1:21" x14ac:dyDescent="0.2">
      <c r="B72" s="89" t="s">
        <v>117</v>
      </c>
      <c r="C72" s="90"/>
      <c r="D72" s="21">
        <v>52</v>
      </c>
      <c r="E72" s="21">
        <v>153.86799999999999</v>
      </c>
      <c r="F72" s="21">
        <v>49</v>
      </c>
      <c r="G72" s="21">
        <v>202.96600000000001</v>
      </c>
      <c r="H72" s="91">
        <f t="shared" si="32"/>
        <v>-3</v>
      </c>
      <c r="I72" s="91">
        <f t="shared" si="32"/>
        <v>49.098000000000013</v>
      </c>
    </row>
    <row r="73" spans="1:21" x14ac:dyDescent="0.2">
      <c r="B73" s="89" t="s">
        <v>118</v>
      </c>
      <c r="C73" s="90"/>
      <c r="D73" s="21">
        <v>25</v>
      </c>
      <c r="E73" s="21">
        <v>63.557000000000002</v>
      </c>
      <c r="F73" s="21">
        <v>39</v>
      </c>
      <c r="G73" s="21">
        <v>89.191999999999993</v>
      </c>
      <c r="H73" s="91">
        <f t="shared" si="32"/>
        <v>14</v>
      </c>
      <c r="I73" s="91">
        <f t="shared" si="32"/>
        <v>25.634999999999991</v>
      </c>
    </row>
    <row r="74" spans="1:21" x14ac:dyDescent="0.2">
      <c r="B74" s="89" t="s">
        <v>119</v>
      </c>
      <c r="C74" s="90"/>
      <c r="D74" s="21">
        <v>33</v>
      </c>
      <c r="E74" s="21">
        <v>36.814999999999998</v>
      </c>
      <c r="F74" s="21">
        <v>50</v>
      </c>
      <c r="G74" s="21">
        <v>46.203000000000003</v>
      </c>
      <c r="H74" s="91">
        <f t="shared" si="32"/>
        <v>17</v>
      </c>
      <c r="I74" s="91">
        <f t="shared" si="32"/>
        <v>9.3880000000000052</v>
      </c>
    </row>
    <row r="75" spans="1:21" x14ac:dyDescent="0.2">
      <c r="B75" s="89" t="s">
        <v>120</v>
      </c>
      <c r="C75" s="90"/>
      <c r="D75" s="21">
        <v>31</v>
      </c>
      <c r="E75" s="21">
        <v>36.787999999999997</v>
      </c>
      <c r="F75" s="21">
        <v>46</v>
      </c>
      <c r="G75" s="21">
        <v>46.128</v>
      </c>
      <c r="H75" s="91">
        <f t="shared" si="32"/>
        <v>15</v>
      </c>
      <c r="I75" s="91">
        <f t="shared" si="32"/>
        <v>9.3400000000000034</v>
      </c>
    </row>
    <row r="76" spans="1:21" ht="12" thickBot="1" x14ac:dyDescent="0.25">
      <c r="B76" s="92" t="s">
        <v>121</v>
      </c>
      <c r="C76" s="93"/>
      <c r="D76" s="94">
        <v>60</v>
      </c>
      <c r="E76" s="94"/>
      <c r="F76" s="94">
        <v>62</v>
      </c>
      <c r="G76" s="94"/>
      <c r="H76" s="95">
        <f t="shared" si="32"/>
        <v>2</v>
      </c>
      <c r="I76" s="95">
        <f t="shared" si="32"/>
        <v>0</v>
      </c>
    </row>
  </sheetData>
  <mergeCells count="78">
    <mergeCell ref="F1:I1"/>
    <mergeCell ref="J1:K1"/>
    <mergeCell ref="L1:M1"/>
    <mergeCell ref="N1:Q1"/>
    <mergeCell ref="R1:S1"/>
    <mergeCell ref="B67:C68"/>
    <mergeCell ref="D67:E67"/>
    <mergeCell ref="F67:G67"/>
    <mergeCell ref="H67:I67"/>
    <mergeCell ref="F2:I2"/>
    <mergeCell ref="F3:I3"/>
    <mergeCell ref="F4:I4"/>
    <mergeCell ref="F5:I5"/>
    <mergeCell ref="B11:C13"/>
    <mergeCell ref="D11:I11"/>
    <mergeCell ref="D58:E58"/>
    <mergeCell ref="F58:G58"/>
    <mergeCell ref="D14:E14"/>
    <mergeCell ref="F14:G14"/>
    <mergeCell ref="D56:E56"/>
    <mergeCell ref="F56:G56"/>
    <mergeCell ref="J2:K2"/>
    <mergeCell ref="L2:M2"/>
    <mergeCell ref="N2:O5"/>
    <mergeCell ref="P2:Q2"/>
    <mergeCell ref="R2:S2"/>
    <mergeCell ref="J3:K3"/>
    <mergeCell ref="L3:M3"/>
    <mergeCell ref="P3:Q3"/>
    <mergeCell ref="R3:T3"/>
    <mergeCell ref="J4:K4"/>
    <mergeCell ref="L4:M4"/>
    <mergeCell ref="P4:Q4"/>
    <mergeCell ref="R4:S4"/>
    <mergeCell ref="J5:K5"/>
    <mergeCell ref="L5:M5"/>
    <mergeCell ref="P5:Q5"/>
    <mergeCell ref="R5:T5"/>
    <mergeCell ref="F6:I6"/>
    <mergeCell ref="J6:K6"/>
    <mergeCell ref="L6:M6"/>
    <mergeCell ref="N6:O9"/>
    <mergeCell ref="P6:Q6"/>
    <mergeCell ref="R6:S6"/>
    <mergeCell ref="F7:I7"/>
    <mergeCell ref="J7:K7"/>
    <mergeCell ref="L7:M7"/>
    <mergeCell ref="P7:Q7"/>
    <mergeCell ref="R7:T7"/>
    <mergeCell ref="F8:I8"/>
    <mergeCell ref="J8:K8"/>
    <mergeCell ref="L8:M8"/>
    <mergeCell ref="P8:Q8"/>
    <mergeCell ref="R8:S8"/>
    <mergeCell ref="F9:I9"/>
    <mergeCell ref="J9:K9"/>
    <mergeCell ref="L9:M9"/>
    <mergeCell ref="P9:Q9"/>
    <mergeCell ref="R9:T9"/>
    <mergeCell ref="J11:T11"/>
    <mergeCell ref="D12:E12"/>
    <mergeCell ref="F12:G12"/>
    <mergeCell ref="H12:I12"/>
    <mergeCell ref="J12:L12"/>
    <mergeCell ref="M12:O12"/>
    <mergeCell ref="P12:Q12"/>
    <mergeCell ref="R12:T12"/>
    <mergeCell ref="J56:L56"/>
    <mergeCell ref="J58:L58"/>
    <mergeCell ref="M58:O58"/>
    <mergeCell ref="R58:T58"/>
    <mergeCell ref="R56:T56"/>
    <mergeCell ref="M56:O56"/>
    <mergeCell ref="D57:E57"/>
    <mergeCell ref="F57:G57"/>
    <mergeCell ref="J57:L57"/>
    <mergeCell ref="M57:O57"/>
    <mergeCell ref="R57:T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2017-03-22T14:47:39Z</dcterms:modified>
</cp:coreProperties>
</file>